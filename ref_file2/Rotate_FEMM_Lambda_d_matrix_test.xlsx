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.업무폴더\2026년도업무\5.전략연구사업\IONIQ5_FEMM\"/>
    </mc:Choice>
  </mc:AlternateContent>
  <bookViews>
    <workbookView xWindow="0" yWindow="0" windowWidth="16140" windowHeight="9420"/>
  </bookViews>
  <sheets>
    <sheet name="Rotate_FEMM_Lambda_d_matrix" sheetId="1" r:id="rId1"/>
  </sheets>
  <calcPr calcId="0"/>
</workbook>
</file>

<file path=xl/calcChain.xml><?xml version="1.0" encoding="utf-8"?>
<calcChain xmlns="http://schemas.openxmlformats.org/spreadsheetml/2006/main">
  <c r="O64" i="1" l="1"/>
  <c r="O65" i="1"/>
  <c r="O66" i="1"/>
  <c r="O67" i="1"/>
  <c r="O68" i="1"/>
  <c r="O69" i="1"/>
  <c r="O70" i="1"/>
  <c r="O71" i="1"/>
  <c r="O72" i="1"/>
  <c r="O7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2" i="1"/>
  <c r="N63" i="1"/>
  <c r="N64" i="1"/>
  <c r="N65" i="1"/>
  <c r="N66" i="1"/>
  <c r="N67" i="1"/>
  <c r="N68" i="1"/>
  <c r="N69" i="1"/>
  <c r="N70" i="1"/>
  <c r="N71" i="1"/>
  <c r="N72" i="1"/>
  <c r="N73" i="1"/>
  <c r="N7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2" i="1"/>
  <c r="B77" i="1"/>
  <c r="B76" i="1"/>
  <c r="B75" i="1"/>
</calcChain>
</file>

<file path=xl/sharedStrings.xml><?xml version="1.0" encoding="utf-8"?>
<sst xmlns="http://schemas.openxmlformats.org/spreadsheetml/2006/main" count="1" uniqueCount="1">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</sst>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Rotate_FEMM_Lambda_d_matrix!$A$2:$A$74</c:f>
              <c:numCache>
                <c:formatCode>General</c:formatCode>
                <c:ptCount val="73"/>
                <c:pt idx="0">
                  <c:v>-180</c:v>
                </c:pt>
                <c:pt idx="1">
                  <c:v>-175</c:v>
                </c:pt>
                <c:pt idx="2">
                  <c:v>-170</c:v>
                </c:pt>
                <c:pt idx="3">
                  <c:v>-165</c:v>
                </c:pt>
                <c:pt idx="4">
                  <c:v>-160</c:v>
                </c:pt>
                <c:pt idx="5">
                  <c:v>-155</c:v>
                </c:pt>
                <c:pt idx="6">
                  <c:v>-150</c:v>
                </c:pt>
                <c:pt idx="7">
                  <c:v>-145</c:v>
                </c:pt>
                <c:pt idx="8">
                  <c:v>-140</c:v>
                </c:pt>
                <c:pt idx="9">
                  <c:v>-135</c:v>
                </c:pt>
                <c:pt idx="10">
                  <c:v>-130</c:v>
                </c:pt>
                <c:pt idx="11">
                  <c:v>-125</c:v>
                </c:pt>
                <c:pt idx="12">
                  <c:v>-120</c:v>
                </c:pt>
                <c:pt idx="13">
                  <c:v>-115</c:v>
                </c:pt>
                <c:pt idx="14">
                  <c:v>-110</c:v>
                </c:pt>
                <c:pt idx="15">
                  <c:v>-105</c:v>
                </c:pt>
                <c:pt idx="16">
                  <c:v>-100</c:v>
                </c:pt>
                <c:pt idx="17">
                  <c:v>-95</c:v>
                </c:pt>
                <c:pt idx="18">
                  <c:v>-90</c:v>
                </c:pt>
                <c:pt idx="19">
                  <c:v>-85</c:v>
                </c:pt>
                <c:pt idx="20">
                  <c:v>-80</c:v>
                </c:pt>
                <c:pt idx="21">
                  <c:v>-75</c:v>
                </c:pt>
                <c:pt idx="22">
                  <c:v>-70</c:v>
                </c:pt>
                <c:pt idx="23">
                  <c:v>-65</c:v>
                </c:pt>
                <c:pt idx="24">
                  <c:v>-60</c:v>
                </c:pt>
                <c:pt idx="25">
                  <c:v>-55</c:v>
                </c:pt>
                <c:pt idx="26">
                  <c:v>-50</c:v>
                </c:pt>
                <c:pt idx="27">
                  <c:v>-45</c:v>
                </c:pt>
                <c:pt idx="28">
                  <c:v>-40</c:v>
                </c:pt>
                <c:pt idx="29">
                  <c:v>-35</c:v>
                </c:pt>
                <c:pt idx="30">
                  <c:v>-30</c:v>
                </c:pt>
                <c:pt idx="31">
                  <c:v>-25</c:v>
                </c:pt>
                <c:pt idx="32">
                  <c:v>-20</c:v>
                </c:pt>
                <c:pt idx="33">
                  <c:v>-15</c:v>
                </c:pt>
                <c:pt idx="34">
                  <c:v>-10</c:v>
                </c:pt>
                <c:pt idx="35">
                  <c:v>-5</c:v>
                </c:pt>
                <c:pt idx="36">
                  <c:v>0</c:v>
                </c:pt>
                <c:pt idx="37">
                  <c:v>5</c:v>
                </c:pt>
                <c:pt idx="38">
                  <c:v>10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35</c:v>
                </c:pt>
                <c:pt idx="44">
                  <c:v>40</c:v>
                </c:pt>
                <c:pt idx="45">
                  <c:v>45</c:v>
                </c:pt>
                <c:pt idx="46">
                  <c:v>50</c:v>
                </c:pt>
                <c:pt idx="47">
                  <c:v>55</c:v>
                </c:pt>
                <c:pt idx="48">
                  <c:v>60</c:v>
                </c:pt>
                <c:pt idx="49">
                  <c:v>65</c:v>
                </c:pt>
                <c:pt idx="50">
                  <c:v>70</c:v>
                </c:pt>
                <c:pt idx="51">
                  <c:v>75</c:v>
                </c:pt>
                <c:pt idx="52">
                  <c:v>80</c:v>
                </c:pt>
                <c:pt idx="53">
                  <c:v>85</c:v>
                </c:pt>
                <c:pt idx="54">
                  <c:v>90</c:v>
                </c:pt>
                <c:pt idx="55">
                  <c:v>95</c:v>
                </c:pt>
                <c:pt idx="56">
                  <c:v>100</c:v>
                </c:pt>
                <c:pt idx="57">
                  <c:v>105</c:v>
                </c:pt>
                <c:pt idx="58">
                  <c:v>110</c:v>
                </c:pt>
                <c:pt idx="59">
                  <c:v>115</c:v>
                </c:pt>
                <c:pt idx="60">
                  <c:v>120</c:v>
                </c:pt>
                <c:pt idx="61">
                  <c:v>125</c:v>
                </c:pt>
                <c:pt idx="62">
                  <c:v>130</c:v>
                </c:pt>
                <c:pt idx="63">
                  <c:v>135</c:v>
                </c:pt>
                <c:pt idx="64">
                  <c:v>140</c:v>
                </c:pt>
                <c:pt idx="65">
                  <c:v>145</c:v>
                </c:pt>
                <c:pt idx="66">
                  <c:v>150</c:v>
                </c:pt>
                <c:pt idx="67">
                  <c:v>155</c:v>
                </c:pt>
                <c:pt idx="68">
                  <c:v>160</c:v>
                </c:pt>
                <c:pt idx="69">
                  <c:v>165</c:v>
                </c:pt>
                <c:pt idx="70">
                  <c:v>170</c:v>
                </c:pt>
                <c:pt idx="71">
                  <c:v>175</c:v>
                </c:pt>
                <c:pt idx="72">
                  <c:v>180</c:v>
                </c:pt>
              </c:numCache>
            </c:numRef>
          </c:cat>
          <c:val>
            <c:numRef>
              <c:f>Rotate_FEMM_Lambda_d_matrix!$B$2:$B$74</c:f>
              <c:numCache>
                <c:formatCode>General</c:formatCode>
                <c:ptCount val="73"/>
                <c:pt idx="0">
                  <c:v>135.72</c:v>
                </c:pt>
                <c:pt idx="1">
                  <c:v>135.88999999999999</c:v>
                </c:pt>
                <c:pt idx="2">
                  <c:v>136.31</c:v>
                </c:pt>
                <c:pt idx="3">
                  <c:v>136.72</c:v>
                </c:pt>
                <c:pt idx="4">
                  <c:v>136.99</c:v>
                </c:pt>
                <c:pt idx="5">
                  <c:v>137.19</c:v>
                </c:pt>
                <c:pt idx="6">
                  <c:v>137.29</c:v>
                </c:pt>
                <c:pt idx="7">
                  <c:v>137.22999999999999</c:v>
                </c:pt>
                <c:pt idx="8">
                  <c:v>137.06</c:v>
                </c:pt>
                <c:pt idx="9">
                  <c:v>136.81</c:v>
                </c:pt>
                <c:pt idx="10">
                  <c:v>136.41</c:v>
                </c:pt>
                <c:pt idx="11">
                  <c:v>136.01</c:v>
                </c:pt>
                <c:pt idx="12">
                  <c:v>135.86000000000001</c:v>
                </c:pt>
                <c:pt idx="13">
                  <c:v>136.04</c:v>
                </c:pt>
                <c:pt idx="14">
                  <c:v>136.47999999999999</c:v>
                </c:pt>
                <c:pt idx="15">
                  <c:v>136.87</c:v>
                </c:pt>
                <c:pt idx="16">
                  <c:v>137.13</c:v>
                </c:pt>
                <c:pt idx="17">
                  <c:v>137.31</c:v>
                </c:pt>
                <c:pt idx="18">
                  <c:v>137.38999999999999</c:v>
                </c:pt>
                <c:pt idx="19">
                  <c:v>137.31</c:v>
                </c:pt>
                <c:pt idx="20">
                  <c:v>137.13</c:v>
                </c:pt>
                <c:pt idx="21">
                  <c:v>136.88</c:v>
                </c:pt>
                <c:pt idx="22">
                  <c:v>136.46</c:v>
                </c:pt>
                <c:pt idx="23">
                  <c:v>136.04</c:v>
                </c:pt>
                <c:pt idx="24">
                  <c:v>135.86000000000001</c:v>
                </c:pt>
                <c:pt idx="25">
                  <c:v>136.01</c:v>
                </c:pt>
                <c:pt idx="26">
                  <c:v>136.41</c:v>
                </c:pt>
                <c:pt idx="27">
                  <c:v>136.80000000000001</c:v>
                </c:pt>
                <c:pt idx="28">
                  <c:v>137.06</c:v>
                </c:pt>
                <c:pt idx="29">
                  <c:v>137.22</c:v>
                </c:pt>
                <c:pt idx="30">
                  <c:v>137.29</c:v>
                </c:pt>
                <c:pt idx="31">
                  <c:v>137.19</c:v>
                </c:pt>
                <c:pt idx="32">
                  <c:v>136.99</c:v>
                </c:pt>
                <c:pt idx="33">
                  <c:v>136.72</c:v>
                </c:pt>
                <c:pt idx="34">
                  <c:v>136.31</c:v>
                </c:pt>
                <c:pt idx="35">
                  <c:v>135.88999999999999</c:v>
                </c:pt>
                <c:pt idx="36">
                  <c:v>135.72</c:v>
                </c:pt>
                <c:pt idx="37">
                  <c:v>135.9</c:v>
                </c:pt>
                <c:pt idx="38">
                  <c:v>136.31</c:v>
                </c:pt>
                <c:pt idx="39">
                  <c:v>136.72</c:v>
                </c:pt>
                <c:pt idx="40">
                  <c:v>136.99</c:v>
                </c:pt>
                <c:pt idx="41">
                  <c:v>137.18</c:v>
                </c:pt>
                <c:pt idx="42">
                  <c:v>137.29</c:v>
                </c:pt>
                <c:pt idx="43">
                  <c:v>137.22</c:v>
                </c:pt>
                <c:pt idx="44">
                  <c:v>137.05000000000001</c:v>
                </c:pt>
                <c:pt idx="45">
                  <c:v>136.80000000000001</c:v>
                </c:pt>
                <c:pt idx="46">
                  <c:v>136.41</c:v>
                </c:pt>
                <c:pt idx="47">
                  <c:v>136.01</c:v>
                </c:pt>
                <c:pt idx="48">
                  <c:v>135.86000000000001</c:v>
                </c:pt>
                <c:pt idx="49">
                  <c:v>136.04</c:v>
                </c:pt>
                <c:pt idx="50">
                  <c:v>136.47</c:v>
                </c:pt>
                <c:pt idx="51">
                  <c:v>136.87</c:v>
                </c:pt>
                <c:pt idx="52">
                  <c:v>137.13</c:v>
                </c:pt>
                <c:pt idx="53">
                  <c:v>137.31</c:v>
                </c:pt>
                <c:pt idx="54">
                  <c:v>137.38999999999999</c:v>
                </c:pt>
                <c:pt idx="55">
                  <c:v>137.31</c:v>
                </c:pt>
                <c:pt idx="56">
                  <c:v>137.13999999999999</c:v>
                </c:pt>
                <c:pt idx="57">
                  <c:v>136.87</c:v>
                </c:pt>
                <c:pt idx="58">
                  <c:v>136.47</c:v>
                </c:pt>
                <c:pt idx="59">
                  <c:v>136.04</c:v>
                </c:pt>
                <c:pt idx="60">
                  <c:v>135.86000000000001</c:v>
                </c:pt>
                <c:pt idx="61">
                  <c:v>136.01</c:v>
                </c:pt>
                <c:pt idx="62">
                  <c:v>136.43</c:v>
                </c:pt>
                <c:pt idx="63">
                  <c:v>136.81</c:v>
                </c:pt>
                <c:pt idx="64">
                  <c:v>137.05000000000001</c:v>
                </c:pt>
                <c:pt idx="65">
                  <c:v>137.22</c:v>
                </c:pt>
                <c:pt idx="66">
                  <c:v>137.30000000000001</c:v>
                </c:pt>
                <c:pt idx="67">
                  <c:v>137.18</c:v>
                </c:pt>
                <c:pt idx="68">
                  <c:v>136.99</c:v>
                </c:pt>
                <c:pt idx="69">
                  <c:v>136.71</c:v>
                </c:pt>
                <c:pt idx="70">
                  <c:v>136.31</c:v>
                </c:pt>
                <c:pt idx="71">
                  <c:v>135.88999999999999</c:v>
                </c:pt>
                <c:pt idx="72">
                  <c:v>135.72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Rotate_FEMM_Lambda_d_matrix!$C$1</c:f>
              <c:strCache>
                <c:ptCount val="1"/>
                <c:pt idx="0">
                  <c:v>34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Rotate_FEMM_Lambda_d_matrix!$C$2:$C$74</c:f>
              <c:numCache>
                <c:formatCode>General</c:formatCode>
                <c:ptCount val="73"/>
                <c:pt idx="0">
                  <c:v>118.25</c:v>
                </c:pt>
                <c:pt idx="1">
                  <c:v>118.46</c:v>
                </c:pt>
                <c:pt idx="2">
                  <c:v>118.99</c:v>
                </c:pt>
                <c:pt idx="3">
                  <c:v>119.75</c:v>
                </c:pt>
                <c:pt idx="4">
                  <c:v>120.65</c:v>
                </c:pt>
                <c:pt idx="5">
                  <c:v>121.73</c:v>
                </c:pt>
                <c:pt idx="6">
                  <c:v>122.72</c:v>
                </c:pt>
                <c:pt idx="7">
                  <c:v>123.55</c:v>
                </c:pt>
                <c:pt idx="8">
                  <c:v>124.2</c:v>
                </c:pt>
                <c:pt idx="9">
                  <c:v>124.83</c:v>
                </c:pt>
                <c:pt idx="10">
                  <c:v>125.45</c:v>
                </c:pt>
                <c:pt idx="11">
                  <c:v>126.18</c:v>
                </c:pt>
                <c:pt idx="12">
                  <c:v>127.12</c:v>
                </c:pt>
                <c:pt idx="13">
                  <c:v>128.41999999999999</c:v>
                </c:pt>
                <c:pt idx="14">
                  <c:v>130.1</c:v>
                </c:pt>
                <c:pt idx="15">
                  <c:v>131.88</c:v>
                </c:pt>
                <c:pt idx="16">
                  <c:v>133.68</c:v>
                </c:pt>
                <c:pt idx="17">
                  <c:v>135.47</c:v>
                </c:pt>
                <c:pt idx="18">
                  <c:v>137.1</c:v>
                </c:pt>
                <c:pt idx="19">
                  <c:v>138.6</c:v>
                </c:pt>
                <c:pt idx="20">
                  <c:v>140.1</c:v>
                </c:pt>
                <c:pt idx="21">
                  <c:v>141.46</c:v>
                </c:pt>
                <c:pt idx="22">
                  <c:v>142.55000000000001</c:v>
                </c:pt>
                <c:pt idx="23">
                  <c:v>143.47</c:v>
                </c:pt>
                <c:pt idx="24">
                  <c:v>144.46</c:v>
                </c:pt>
                <c:pt idx="25">
                  <c:v>145.74</c:v>
                </c:pt>
                <c:pt idx="26">
                  <c:v>147.27000000000001</c:v>
                </c:pt>
                <c:pt idx="27">
                  <c:v>148.69999999999999</c:v>
                </c:pt>
                <c:pt idx="28">
                  <c:v>149.91999999999999</c:v>
                </c:pt>
                <c:pt idx="29">
                  <c:v>150.88999999999999</c:v>
                </c:pt>
                <c:pt idx="30">
                  <c:v>151.65</c:v>
                </c:pt>
                <c:pt idx="31">
                  <c:v>152.4</c:v>
                </c:pt>
                <c:pt idx="32">
                  <c:v>153</c:v>
                </c:pt>
                <c:pt idx="33">
                  <c:v>153.31</c:v>
                </c:pt>
                <c:pt idx="34">
                  <c:v>153.29</c:v>
                </c:pt>
                <c:pt idx="35">
                  <c:v>153.07</c:v>
                </c:pt>
                <c:pt idx="36">
                  <c:v>152.94</c:v>
                </c:pt>
                <c:pt idx="37">
                  <c:v>153.07</c:v>
                </c:pt>
                <c:pt idx="38">
                  <c:v>153.29</c:v>
                </c:pt>
                <c:pt idx="39">
                  <c:v>153.31</c:v>
                </c:pt>
                <c:pt idx="40">
                  <c:v>152.99</c:v>
                </c:pt>
                <c:pt idx="41">
                  <c:v>152.38999999999999</c:v>
                </c:pt>
                <c:pt idx="42">
                  <c:v>151.63999999999999</c:v>
                </c:pt>
                <c:pt idx="43">
                  <c:v>150.87</c:v>
                </c:pt>
                <c:pt idx="44">
                  <c:v>149.91</c:v>
                </c:pt>
                <c:pt idx="45">
                  <c:v>148.69</c:v>
                </c:pt>
                <c:pt idx="46">
                  <c:v>147.26</c:v>
                </c:pt>
                <c:pt idx="47">
                  <c:v>145.72</c:v>
                </c:pt>
                <c:pt idx="48">
                  <c:v>144.44</c:v>
                </c:pt>
                <c:pt idx="49">
                  <c:v>143.46</c:v>
                </c:pt>
                <c:pt idx="50">
                  <c:v>142.54</c:v>
                </c:pt>
                <c:pt idx="51">
                  <c:v>141.44999999999999</c:v>
                </c:pt>
                <c:pt idx="52">
                  <c:v>140.09</c:v>
                </c:pt>
                <c:pt idx="53">
                  <c:v>138.59</c:v>
                </c:pt>
                <c:pt idx="54">
                  <c:v>137.09</c:v>
                </c:pt>
                <c:pt idx="55">
                  <c:v>135.46</c:v>
                </c:pt>
                <c:pt idx="56">
                  <c:v>133.68</c:v>
                </c:pt>
                <c:pt idx="57">
                  <c:v>131.87</c:v>
                </c:pt>
                <c:pt idx="58">
                  <c:v>130.08000000000001</c:v>
                </c:pt>
                <c:pt idx="59">
                  <c:v>128.41</c:v>
                </c:pt>
                <c:pt idx="60">
                  <c:v>127.11</c:v>
                </c:pt>
                <c:pt idx="61">
                  <c:v>126.17</c:v>
                </c:pt>
                <c:pt idx="62">
                  <c:v>125.46</c:v>
                </c:pt>
                <c:pt idx="63">
                  <c:v>124.82</c:v>
                </c:pt>
                <c:pt idx="64">
                  <c:v>124.19</c:v>
                </c:pt>
                <c:pt idx="65">
                  <c:v>123.55</c:v>
                </c:pt>
                <c:pt idx="66">
                  <c:v>122.72</c:v>
                </c:pt>
                <c:pt idx="67">
                  <c:v>121.73</c:v>
                </c:pt>
                <c:pt idx="68">
                  <c:v>120.64</c:v>
                </c:pt>
                <c:pt idx="69">
                  <c:v>119.74</c:v>
                </c:pt>
                <c:pt idx="70">
                  <c:v>118.99</c:v>
                </c:pt>
                <c:pt idx="71">
                  <c:v>118.46</c:v>
                </c:pt>
                <c:pt idx="72">
                  <c:v>118.25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Rotate_FEMM_Lambda_d_matrix!$D$2:$D$74</c:f>
              <c:numCache>
                <c:formatCode>General</c:formatCode>
                <c:ptCount val="73"/>
                <c:pt idx="0">
                  <c:v>100.85</c:v>
                </c:pt>
                <c:pt idx="1">
                  <c:v>101.09</c:v>
                </c:pt>
                <c:pt idx="2">
                  <c:v>101.72</c:v>
                </c:pt>
                <c:pt idx="3">
                  <c:v>102.8</c:v>
                </c:pt>
                <c:pt idx="4">
                  <c:v>104.38</c:v>
                </c:pt>
                <c:pt idx="5">
                  <c:v>106.38</c:v>
                </c:pt>
                <c:pt idx="6">
                  <c:v>108.36</c:v>
                </c:pt>
                <c:pt idx="7">
                  <c:v>110.2</c:v>
                </c:pt>
                <c:pt idx="8">
                  <c:v>111.71</c:v>
                </c:pt>
                <c:pt idx="9">
                  <c:v>113.15</c:v>
                </c:pt>
                <c:pt idx="10">
                  <c:v>114.75</c:v>
                </c:pt>
                <c:pt idx="11">
                  <c:v>116.55</c:v>
                </c:pt>
                <c:pt idx="12">
                  <c:v>118.6</c:v>
                </c:pt>
                <c:pt idx="13">
                  <c:v>121.08</c:v>
                </c:pt>
                <c:pt idx="14">
                  <c:v>123.92</c:v>
                </c:pt>
                <c:pt idx="15">
                  <c:v>126.92</c:v>
                </c:pt>
                <c:pt idx="16">
                  <c:v>130.05000000000001</c:v>
                </c:pt>
                <c:pt idx="17">
                  <c:v>133.18</c:v>
                </c:pt>
                <c:pt idx="18">
                  <c:v>136.22</c:v>
                </c:pt>
                <c:pt idx="19">
                  <c:v>139.24</c:v>
                </c:pt>
                <c:pt idx="20">
                  <c:v>142.33000000000001</c:v>
                </c:pt>
                <c:pt idx="21">
                  <c:v>145.27000000000001</c:v>
                </c:pt>
                <c:pt idx="22">
                  <c:v>147.87</c:v>
                </c:pt>
                <c:pt idx="23">
                  <c:v>150.1</c:v>
                </c:pt>
                <c:pt idx="24">
                  <c:v>152.31</c:v>
                </c:pt>
                <c:pt idx="25">
                  <c:v>154.78</c:v>
                </c:pt>
                <c:pt idx="26">
                  <c:v>157.35</c:v>
                </c:pt>
                <c:pt idx="27">
                  <c:v>159.79</c:v>
                </c:pt>
                <c:pt idx="28">
                  <c:v>161.9</c:v>
                </c:pt>
                <c:pt idx="29">
                  <c:v>163.66</c:v>
                </c:pt>
                <c:pt idx="30">
                  <c:v>165.29</c:v>
                </c:pt>
                <c:pt idx="31">
                  <c:v>166.91</c:v>
                </c:pt>
                <c:pt idx="32">
                  <c:v>168.2</c:v>
                </c:pt>
                <c:pt idx="33">
                  <c:v>169.05</c:v>
                </c:pt>
                <c:pt idx="34">
                  <c:v>169.49</c:v>
                </c:pt>
                <c:pt idx="35">
                  <c:v>169.6</c:v>
                </c:pt>
                <c:pt idx="36">
                  <c:v>169.61</c:v>
                </c:pt>
                <c:pt idx="37">
                  <c:v>169.6</c:v>
                </c:pt>
                <c:pt idx="38">
                  <c:v>169.49</c:v>
                </c:pt>
                <c:pt idx="39">
                  <c:v>169.06</c:v>
                </c:pt>
                <c:pt idx="40">
                  <c:v>168.19</c:v>
                </c:pt>
                <c:pt idx="41">
                  <c:v>166.91</c:v>
                </c:pt>
                <c:pt idx="42">
                  <c:v>165.29</c:v>
                </c:pt>
                <c:pt idx="43">
                  <c:v>163.63999999999999</c:v>
                </c:pt>
                <c:pt idx="44">
                  <c:v>161.88999999999999</c:v>
                </c:pt>
                <c:pt idx="45">
                  <c:v>159.78</c:v>
                </c:pt>
                <c:pt idx="46">
                  <c:v>157.34</c:v>
                </c:pt>
                <c:pt idx="47">
                  <c:v>154.77000000000001</c:v>
                </c:pt>
                <c:pt idx="48">
                  <c:v>152.29</c:v>
                </c:pt>
                <c:pt idx="49">
                  <c:v>150.08000000000001</c:v>
                </c:pt>
                <c:pt idx="50">
                  <c:v>147.85</c:v>
                </c:pt>
                <c:pt idx="51">
                  <c:v>145.26</c:v>
                </c:pt>
                <c:pt idx="52">
                  <c:v>142.31</c:v>
                </c:pt>
                <c:pt idx="53">
                  <c:v>139.22</c:v>
                </c:pt>
                <c:pt idx="54">
                  <c:v>136.19999999999999</c:v>
                </c:pt>
                <c:pt idx="55">
                  <c:v>133.16</c:v>
                </c:pt>
                <c:pt idx="56">
                  <c:v>130.03</c:v>
                </c:pt>
                <c:pt idx="57">
                  <c:v>126.9</c:v>
                </c:pt>
                <c:pt idx="58">
                  <c:v>123.9</c:v>
                </c:pt>
                <c:pt idx="59">
                  <c:v>121.07</c:v>
                </c:pt>
                <c:pt idx="60">
                  <c:v>118.58</c:v>
                </c:pt>
                <c:pt idx="61">
                  <c:v>116.54</c:v>
                </c:pt>
                <c:pt idx="62">
                  <c:v>114.75</c:v>
                </c:pt>
                <c:pt idx="63">
                  <c:v>113.14</c:v>
                </c:pt>
                <c:pt idx="64">
                  <c:v>111.69</c:v>
                </c:pt>
                <c:pt idx="65">
                  <c:v>110.19</c:v>
                </c:pt>
                <c:pt idx="66">
                  <c:v>108.35</c:v>
                </c:pt>
                <c:pt idx="67">
                  <c:v>106.37</c:v>
                </c:pt>
                <c:pt idx="68">
                  <c:v>104.37</c:v>
                </c:pt>
                <c:pt idx="69">
                  <c:v>102.79</c:v>
                </c:pt>
                <c:pt idx="70">
                  <c:v>101.72</c:v>
                </c:pt>
                <c:pt idx="71">
                  <c:v>101.09</c:v>
                </c:pt>
                <c:pt idx="72">
                  <c:v>100.84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879104"/>
        <c:axId val="1914867136"/>
      </c:lineChart>
      <c:catAx>
        <c:axId val="19148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867136"/>
        <c:crosses val="autoZero"/>
        <c:auto val="1"/>
        <c:lblAlgn val="ctr"/>
        <c:lblOffset val="100"/>
        <c:noMultiLvlLbl val="0"/>
      </c:catAx>
      <c:valAx>
        <c:axId val="191486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8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Rotate_FEMM_Lambda_d_matrix!$N$1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Rotate_FEMM_Lambda_d_matrix!$N$2:$N$73</c:f>
              <c:numCache>
                <c:formatCode>General</c:formatCode>
                <c:ptCount val="72"/>
                <c:pt idx="0">
                  <c:v>-0.20999999999999375</c:v>
                </c:pt>
                <c:pt idx="1">
                  <c:v>-0.53000000000000114</c:v>
                </c:pt>
                <c:pt idx="2">
                  <c:v>-0.76000000000000512</c:v>
                </c:pt>
                <c:pt idx="3">
                  <c:v>-0.90000000000000568</c:v>
                </c:pt>
                <c:pt idx="4">
                  <c:v>-1.0799999999999983</c:v>
                </c:pt>
                <c:pt idx="5">
                  <c:v>-0.98999999999999488</c:v>
                </c:pt>
                <c:pt idx="6">
                  <c:v>-0.82999999999999829</c:v>
                </c:pt>
                <c:pt idx="7">
                  <c:v>-0.65000000000000568</c:v>
                </c:pt>
                <c:pt idx="8">
                  <c:v>-0.62999999999999545</c:v>
                </c:pt>
                <c:pt idx="9">
                  <c:v>-0.62000000000000455</c:v>
                </c:pt>
                <c:pt idx="10">
                  <c:v>-0.73000000000000398</c:v>
                </c:pt>
                <c:pt idx="11">
                  <c:v>-0.93999999999999773</c:v>
                </c:pt>
                <c:pt idx="12">
                  <c:v>-1.2999999999999829</c:v>
                </c:pt>
                <c:pt idx="13">
                  <c:v>-1.6800000000000068</c:v>
                </c:pt>
                <c:pt idx="14">
                  <c:v>-1.7800000000000011</c:v>
                </c:pt>
                <c:pt idx="15">
                  <c:v>-1.8000000000000114</c:v>
                </c:pt>
                <c:pt idx="16">
                  <c:v>-1.789999999999992</c:v>
                </c:pt>
                <c:pt idx="17">
                  <c:v>-1.6299999999999955</c:v>
                </c:pt>
                <c:pt idx="18">
                  <c:v>-1.5</c:v>
                </c:pt>
                <c:pt idx="19">
                  <c:v>-1.5</c:v>
                </c:pt>
                <c:pt idx="20">
                  <c:v>-1.3600000000000136</c:v>
                </c:pt>
                <c:pt idx="21">
                  <c:v>-1.0900000000000034</c:v>
                </c:pt>
                <c:pt idx="22">
                  <c:v>-0.91999999999998749</c:v>
                </c:pt>
                <c:pt idx="23">
                  <c:v>-0.99000000000000909</c:v>
                </c:pt>
                <c:pt idx="24">
                  <c:v>-1.2800000000000011</c:v>
                </c:pt>
                <c:pt idx="25">
                  <c:v>-1.5300000000000011</c:v>
                </c:pt>
                <c:pt idx="26">
                  <c:v>-1.4299999999999784</c:v>
                </c:pt>
                <c:pt idx="27">
                  <c:v>-1.2199999999999989</c:v>
                </c:pt>
                <c:pt idx="28">
                  <c:v>-0.96999999999999886</c:v>
                </c:pt>
                <c:pt idx="29">
                  <c:v>-0.76000000000001933</c:v>
                </c:pt>
                <c:pt idx="30">
                  <c:v>-0.75</c:v>
                </c:pt>
                <c:pt idx="31">
                  <c:v>-0.59999999999999432</c:v>
                </c:pt>
                <c:pt idx="32">
                  <c:v>-0.31000000000000227</c:v>
                </c:pt>
                <c:pt idx="33">
                  <c:v>2.0000000000010232E-2</c:v>
                </c:pt>
                <c:pt idx="34">
                  <c:v>0.21999999999999886</c:v>
                </c:pt>
                <c:pt idx="35">
                  <c:v>0.12999999999999545</c:v>
                </c:pt>
                <c:pt idx="36">
                  <c:v>-0.12999999999999545</c:v>
                </c:pt>
                <c:pt idx="37">
                  <c:v>-0.21999999999999886</c:v>
                </c:pt>
                <c:pt idx="38">
                  <c:v>-2.0000000000010232E-2</c:v>
                </c:pt>
                <c:pt idx="39">
                  <c:v>0.31999999999999318</c:v>
                </c:pt>
                <c:pt idx="40">
                  <c:v>0.60000000000002274</c:v>
                </c:pt>
                <c:pt idx="41">
                  <c:v>0.75</c:v>
                </c:pt>
                <c:pt idx="42">
                  <c:v>0.76999999999998181</c:v>
                </c:pt>
                <c:pt idx="43">
                  <c:v>0.96000000000000796</c:v>
                </c:pt>
                <c:pt idx="44">
                  <c:v>1.2199999999999989</c:v>
                </c:pt>
                <c:pt idx="45">
                  <c:v>1.4300000000000068</c:v>
                </c:pt>
                <c:pt idx="46">
                  <c:v>1.539999999999992</c:v>
                </c:pt>
                <c:pt idx="47">
                  <c:v>1.2800000000000011</c:v>
                </c:pt>
                <c:pt idx="48">
                  <c:v>0.97999999999998977</c:v>
                </c:pt>
                <c:pt idx="49">
                  <c:v>0.92000000000001592</c:v>
                </c:pt>
                <c:pt idx="50">
                  <c:v>1.0900000000000034</c:v>
                </c:pt>
                <c:pt idx="51">
                  <c:v>1.3599999999999852</c:v>
                </c:pt>
                <c:pt idx="52">
                  <c:v>1.5</c:v>
                </c:pt>
                <c:pt idx="53">
                  <c:v>1.5</c:v>
                </c:pt>
                <c:pt idx="54">
                  <c:v>1.6299999999999955</c:v>
                </c:pt>
                <c:pt idx="55">
                  <c:v>1.7800000000000011</c:v>
                </c:pt>
                <c:pt idx="56">
                  <c:v>1.8100000000000023</c:v>
                </c:pt>
                <c:pt idx="57">
                  <c:v>1.789999999999992</c:v>
                </c:pt>
                <c:pt idx="58">
                  <c:v>1.6700000000000159</c:v>
                </c:pt>
                <c:pt idx="59">
                  <c:v>1.2999999999999972</c:v>
                </c:pt>
                <c:pt idx="60">
                  <c:v>0.93999999999999773</c:v>
                </c:pt>
                <c:pt idx="61">
                  <c:v>0.71000000000000796</c:v>
                </c:pt>
                <c:pt idx="62">
                  <c:v>0.64000000000000057</c:v>
                </c:pt>
                <c:pt idx="63">
                  <c:v>0.62999999999999545</c:v>
                </c:pt>
                <c:pt idx="64">
                  <c:v>0.64000000000000057</c:v>
                </c:pt>
                <c:pt idx="65">
                  <c:v>0.82999999999999829</c:v>
                </c:pt>
                <c:pt idx="66">
                  <c:v>0.98999999999999488</c:v>
                </c:pt>
                <c:pt idx="67">
                  <c:v>1.0900000000000034</c:v>
                </c:pt>
                <c:pt idx="68">
                  <c:v>0.90000000000000568</c:v>
                </c:pt>
                <c:pt idx="69">
                  <c:v>0.75</c:v>
                </c:pt>
                <c:pt idx="70">
                  <c:v>0.53000000000000114</c:v>
                </c:pt>
                <c:pt idx="71">
                  <c:v>0.20999999999999375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Rotate_FEMM_Lambda_d_matrix!$O$2:$O$73</c:f>
              <c:numCache>
                <c:formatCode>General</c:formatCode>
                <c:ptCount val="72"/>
                <c:pt idx="0">
                  <c:v>-0.70000000000000284</c:v>
                </c:pt>
                <c:pt idx="1">
                  <c:v>-2.2300000000000004</c:v>
                </c:pt>
                <c:pt idx="2">
                  <c:v>-4.3999999999999986</c:v>
                </c:pt>
                <c:pt idx="3">
                  <c:v>-6.66</c:v>
                </c:pt>
                <c:pt idx="4">
                  <c:v>-8.43</c:v>
                </c:pt>
                <c:pt idx="5">
                  <c:v>-9.42</c:v>
                </c:pt>
                <c:pt idx="6">
                  <c:v>-9.93</c:v>
                </c:pt>
                <c:pt idx="7">
                  <c:v>-9.2700000000000014</c:v>
                </c:pt>
                <c:pt idx="8">
                  <c:v>-8.2399999999999984</c:v>
                </c:pt>
                <c:pt idx="9">
                  <c:v>-7.990000000000002</c:v>
                </c:pt>
                <c:pt idx="10">
                  <c:v>-8.2999999999999972</c:v>
                </c:pt>
                <c:pt idx="11">
                  <c:v>-8.61</c:v>
                </c:pt>
                <c:pt idx="12">
                  <c:v>-8.720000000000006</c:v>
                </c:pt>
                <c:pt idx="13">
                  <c:v>-8.769999999999996</c:v>
                </c:pt>
                <c:pt idx="14">
                  <c:v>-8.9599999999999937</c:v>
                </c:pt>
                <c:pt idx="15">
                  <c:v>-9.6300000000000097</c:v>
                </c:pt>
                <c:pt idx="16">
                  <c:v>-10.539999999999992</c:v>
                </c:pt>
                <c:pt idx="17">
                  <c:v>-11.040000000000006</c:v>
                </c:pt>
                <c:pt idx="18">
                  <c:v>-10.989999999999995</c:v>
                </c:pt>
                <c:pt idx="19">
                  <c:v>-10.469999999999999</c:v>
                </c:pt>
                <c:pt idx="20">
                  <c:v>-9.7700000000000102</c:v>
                </c:pt>
                <c:pt idx="21">
                  <c:v>-9.5799999999999841</c:v>
                </c:pt>
                <c:pt idx="22">
                  <c:v>-10.150000000000006</c:v>
                </c:pt>
                <c:pt idx="23">
                  <c:v>-11.409999999999997</c:v>
                </c:pt>
                <c:pt idx="24">
                  <c:v>-11.860000000000014</c:v>
                </c:pt>
                <c:pt idx="25">
                  <c:v>-11.689999999999998</c:v>
                </c:pt>
                <c:pt idx="26">
                  <c:v>-11.579999999999984</c:v>
                </c:pt>
                <c:pt idx="27">
                  <c:v>-11.430000000000007</c:v>
                </c:pt>
                <c:pt idx="28">
                  <c:v>-11.480000000000018</c:v>
                </c:pt>
                <c:pt idx="29">
                  <c:v>-9.6099999999999852</c:v>
                </c:pt>
                <c:pt idx="30">
                  <c:v>-8.0500000000000114</c:v>
                </c:pt>
                <c:pt idx="31">
                  <c:v>-7.5099999999999909</c:v>
                </c:pt>
                <c:pt idx="32">
                  <c:v>-6.5600000000000023</c:v>
                </c:pt>
                <c:pt idx="33">
                  <c:v>-4.8299999999999841</c:v>
                </c:pt>
                <c:pt idx="34">
                  <c:v>-2.8199999999999932</c:v>
                </c:pt>
                <c:pt idx="35">
                  <c:v>-0.98000000000001819</c:v>
                </c:pt>
                <c:pt idx="36">
                  <c:v>0.98000000000001819</c:v>
                </c:pt>
                <c:pt idx="37">
                  <c:v>2.8199999999999932</c:v>
                </c:pt>
                <c:pt idx="38">
                  <c:v>4.8299999999999841</c:v>
                </c:pt>
                <c:pt idx="39">
                  <c:v>6.5600000000000023</c:v>
                </c:pt>
                <c:pt idx="40">
                  <c:v>7.5200000000000102</c:v>
                </c:pt>
                <c:pt idx="41">
                  <c:v>8.0499999999999829</c:v>
                </c:pt>
                <c:pt idx="42">
                  <c:v>9.5900000000000034</c:v>
                </c:pt>
                <c:pt idx="43">
                  <c:v>11.490000000000009</c:v>
                </c:pt>
                <c:pt idx="44">
                  <c:v>11.430000000000007</c:v>
                </c:pt>
                <c:pt idx="45">
                  <c:v>11.589999999999975</c:v>
                </c:pt>
                <c:pt idx="46">
                  <c:v>11.710000000000008</c:v>
                </c:pt>
                <c:pt idx="47">
                  <c:v>11.860000000000014</c:v>
                </c:pt>
                <c:pt idx="48">
                  <c:v>11.409999999999997</c:v>
                </c:pt>
                <c:pt idx="49">
                  <c:v>10.120000000000005</c:v>
                </c:pt>
                <c:pt idx="50">
                  <c:v>9.5999999999999943</c:v>
                </c:pt>
                <c:pt idx="51">
                  <c:v>9.7599999999999909</c:v>
                </c:pt>
                <c:pt idx="52">
                  <c:v>10.490000000000009</c:v>
                </c:pt>
                <c:pt idx="53">
                  <c:v>10.97999999999999</c:v>
                </c:pt>
                <c:pt idx="54">
                  <c:v>11.060000000000002</c:v>
                </c:pt>
                <c:pt idx="55">
                  <c:v>10.530000000000001</c:v>
                </c:pt>
                <c:pt idx="56">
                  <c:v>9.6299999999999955</c:v>
                </c:pt>
                <c:pt idx="57">
                  <c:v>8.9700000000000131</c:v>
                </c:pt>
                <c:pt idx="58">
                  <c:v>8.75</c:v>
                </c:pt>
                <c:pt idx="59">
                  <c:v>8.7399999999999949</c:v>
                </c:pt>
                <c:pt idx="60">
                  <c:v>8.5799999999999983</c:v>
                </c:pt>
                <c:pt idx="61">
                  <c:v>8.2999999999999972</c:v>
                </c:pt>
                <c:pt idx="62">
                  <c:v>8.0200000000000031</c:v>
                </c:pt>
                <c:pt idx="63">
                  <c:v>8.25</c:v>
                </c:pt>
                <c:pt idx="64">
                  <c:v>9.24</c:v>
                </c:pt>
                <c:pt idx="65">
                  <c:v>9.92</c:v>
                </c:pt>
                <c:pt idx="66">
                  <c:v>9.42</c:v>
                </c:pt>
                <c:pt idx="67">
                  <c:v>8.42</c:v>
                </c:pt>
                <c:pt idx="68">
                  <c:v>6.68</c:v>
                </c:pt>
                <c:pt idx="69">
                  <c:v>4.379999999999999</c:v>
                </c:pt>
                <c:pt idx="70">
                  <c:v>2.2300000000000004</c:v>
                </c:pt>
                <c:pt idx="71">
                  <c:v>0.70000000000000284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872576"/>
        <c:axId val="1914863872"/>
      </c:lineChart>
      <c:catAx>
        <c:axId val="191487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863872"/>
        <c:crosses val="autoZero"/>
        <c:auto val="1"/>
        <c:lblAlgn val="ctr"/>
        <c:lblOffset val="100"/>
        <c:noMultiLvlLbl val="0"/>
      </c:catAx>
      <c:valAx>
        <c:axId val="191486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487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547686</xdr:colOff>
      <xdr:row>5</xdr:row>
      <xdr:rowOff>171450</xdr:rowOff>
    </xdr:from>
    <xdr:to>
      <xdr:col>31</xdr:col>
      <xdr:colOff>542925</xdr:colOff>
      <xdr:row>31</xdr:row>
      <xdr:rowOff>123824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261937</xdr:colOff>
      <xdr:row>40</xdr:row>
      <xdr:rowOff>38100</xdr:rowOff>
    </xdr:from>
    <xdr:to>
      <xdr:col>25</xdr:col>
      <xdr:colOff>33337</xdr:colOff>
      <xdr:row>53</xdr:row>
      <xdr:rowOff>57150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topLeftCell="A4" workbookViewId="0">
      <selection activeCell="O2" sqref="O2:O73"/>
    </sheetView>
  </sheetViews>
  <sheetFormatPr defaultRowHeight="16.5" x14ac:dyDescent="0.3"/>
  <sheetData>
    <row r="1" spans="1:15" x14ac:dyDescent="0.3">
      <c r="A1" t="s">
        <v>0</v>
      </c>
      <c r="B1">
        <v>0</v>
      </c>
      <c r="C1">
        <v>34</v>
      </c>
      <c r="D1">
        <v>68</v>
      </c>
      <c r="E1">
        <v>102</v>
      </c>
      <c r="F1">
        <v>136</v>
      </c>
      <c r="G1">
        <v>170</v>
      </c>
      <c r="H1">
        <v>204</v>
      </c>
      <c r="I1">
        <v>238</v>
      </c>
      <c r="J1">
        <v>272</v>
      </c>
      <c r="K1">
        <v>306</v>
      </c>
      <c r="L1">
        <v>340</v>
      </c>
    </row>
    <row r="2" spans="1:15" x14ac:dyDescent="0.3">
      <c r="A2">
        <v>-180</v>
      </c>
      <c r="B2">
        <v>135.72</v>
      </c>
      <c r="C2">
        <v>118.25</v>
      </c>
      <c r="D2">
        <v>100.85</v>
      </c>
      <c r="E2">
        <v>83.67</v>
      </c>
      <c r="F2">
        <v>67.150000000000006</v>
      </c>
      <c r="G2">
        <v>51</v>
      </c>
      <c r="H2">
        <v>35.06</v>
      </c>
      <c r="I2">
        <v>19.29</v>
      </c>
      <c r="J2">
        <v>3.71</v>
      </c>
      <c r="K2">
        <v>-11.71</v>
      </c>
      <c r="L2">
        <v>-26.92</v>
      </c>
      <c r="N2">
        <f>C2-C3</f>
        <v>-0.20999999999999375</v>
      </c>
      <c r="O2">
        <f>L2-L3</f>
        <v>-0.70000000000000284</v>
      </c>
    </row>
    <row r="3" spans="1:15" x14ac:dyDescent="0.3">
      <c r="A3">
        <v>-175</v>
      </c>
      <c r="B3">
        <v>135.88999999999999</v>
      </c>
      <c r="C3">
        <v>118.46</v>
      </c>
      <c r="D3">
        <v>101.09</v>
      </c>
      <c r="E3">
        <v>84</v>
      </c>
      <c r="F3">
        <v>67.39</v>
      </c>
      <c r="G3">
        <v>51.22</v>
      </c>
      <c r="H3">
        <v>35.340000000000003</v>
      </c>
      <c r="I3">
        <v>19.670000000000002</v>
      </c>
      <c r="J3">
        <v>4.18</v>
      </c>
      <c r="K3">
        <v>-11.16</v>
      </c>
      <c r="L3">
        <v>-26.22</v>
      </c>
      <c r="N3">
        <f t="shared" ref="N3:N66" si="0">C3-C4</f>
        <v>-0.53000000000000114</v>
      </c>
      <c r="O3">
        <f t="shared" ref="O3:O66" si="1">L3-L4</f>
        <v>-2.2300000000000004</v>
      </c>
    </row>
    <row r="4" spans="1:15" x14ac:dyDescent="0.3">
      <c r="A4">
        <v>-170</v>
      </c>
      <c r="B4">
        <v>136.31</v>
      </c>
      <c r="C4">
        <v>118.99</v>
      </c>
      <c r="D4">
        <v>101.72</v>
      </c>
      <c r="E4">
        <v>84.76</v>
      </c>
      <c r="F4">
        <v>68.28</v>
      </c>
      <c r="G4">
        <v>52.13</v>
      </c>
      <c r="H4">
        <v>36.340000000000003</v>
      </c>
      <c r="I4">
        <v>20.87</v>
      </c>
      <c r="J4">
        <v>5.64</v>
      </c>
      <c r="K4">
        <v>-9.32</v>
      </c>
      <c r="L4">
        <v>-23.99</v>
      </c>
      <c r="N4">
        <f t="shared" si="0"/>
        <v>-0.76000000000000512</v>
      </c>
      <c r="O4">
        <f t="shared" si="1"/>
        <v>-4.3999999999999986</v>
      </c>
    </row>
    <row r="5" spans="1:15" x14ac:dyDescent="0.3">
      <c r="A5">
        <v>-165</v>
      </c>
      <c r="B5">
        <v>136.72</v>
      </c>
      <c r="C5">
        <v>119.75</v>
      </c>
      <c r="D5">
        <v>102.8</v>
      </c>
      <c r="E5">
        <v>86.17</v>
      </c>
      <c r="F5">
        <v>70.05</v>
      </c>
      <c r="G5">
        <v>54.27</v>
      </c>
      <c r="H5">
        <v>38.76</v>
      </c>
      <c r="I5">
        <v>23.57</v>
      </c>
      <c r="J5">
        <v>8.82</v>
      </c>
      <c r="K5">
        <v>-5.57</v>
      </c>
      <c r="L5">
        <v>-19.59</v>
      </c>
      <c r="N5">
        <f t="shared" si="0"/>
        <v>-0.90000000000000568</v>
      </c>
      <c r="O5">
        <f t="shared" si="1"/>
        <v>-6.66</v>
      </c>
    </row>
    <row r="6" spans="1:15" x14ac:dyDescent="0.3">
      <c r="A6">
        <v>-160</v>
      </c>
      <c r="B6">
        <v>136.99</v>
      </c>
      <c r="C6">
        <v>120.65</v>
      </c>
      <c r="D6">
        <v>104.38</v>
      </c>
      <c r="E6">
        <v>88.45</v>
      </c>
      <c r="F6">
        <v>72.930000000000007</v>
      </c>
      <c r="G6">
        <v>57.7</v>
      </c>
      <c r="H6">
        <v>42.85</v>
      </c>
      <c r="I6">
        <v>28.41</v>
      </c>
      <c r="J6">
        <v>14.29</v>
      </c>
      <c r="K6">
        <v>0.5</v>
      </c>
      <c r="L6">
        <v>-12.93</v>
      </c>
      <c r="N6">
        <f t="shared" si="0"/>
        <v>-1.0799999999999983</v>
      </c>
      <c r="O6">
        <f t="shared" si="1"/>
        <v>-8.43</v>
      </c>
    </row>
    <row r="7" spans="1:15" x14ac:dyDescent="0.3">
      <c r="A7">
        <v>-155</v>
      </c>
      <c r="B7">
        <v>137.19</v>
      </c>
      <c r="C7">
        <v>121.73</v>
      </c>
      <c r="D7">
        <v>106.38</v>
      </c>
      <c r="E7">
        <v>91.34</v>
      </c>
      <c r="F7">
        <v>76.67</v>
      </c>
      <c r="G7">
        <v>62.41</v>
      </c>
      <c r="H7">
        <v>48.5</v>
      </c>
      <c r="I7">
        <v>34.869999999999997</v>
      </c>
      <c r="J7">
        <v>21.44</v>
      </c>
      <c r="K7">
        <v>8.2799999999999994</v>
      </c>
      <c r="L7">
        <v>-4.5</v>
      </c>
      <c r="N7">
        <f t="shared" si="0"/>
        <v>-0.98999999999999488</v>
      </c>
      <c r="O7">
        <f t="shared" si="1"/>
        <v>-9.42</v>
      </c>
    </row>
    <row r="8" spans="1:15" x14ac:dyDescent="0.3">
      <c r="A8">
        <v>-150</v>
      </c>
      <c r="B8">
        <v>137.29</v>
      </c>
      <c r="C8">
        <v>122.72</v>
      </c>
      <c r="D8">
        <v>108.36</v>
      </c>
      <c r="E8">
        <v>94.36</v>
      </c>
      <c r="F8">
        <v>80.88</v>
      </c>
      <c r="G8">
        <v>67.709999999999994</v>
      </c>
      <c r="H8">
        <v>54.74</v>
      </c>
      <c r="I8">
        <v>41.92</v>
      </c>
      <c r="J8">
        <v>29.34</v>
      </c>
      <c r="K8">
        <v>17</v>
      </c>
      <c r="L8">
        <v>4.92</v>
      </c>
      <c r="N8">
        <f t="shared" si="0"/>
        <v>-0.82999999999999829</v>
      </c>
      <c r="O8">
        <f t="shared" si="1"/>
        <v>-9.93</v>
      </c>
    </row>
    <row r="9" spans="1:15" x14ac:dyDescent="0.3">
      <c r="A9">
        <v>-145</v>
      </c>
      <c r="B9">
        <v>137.22999999999999</v>
      </c>
      <c r="C9">
        <v>123.55</v>
      </c>
      <c r="D9">
        <v>110.2</v>
      </c>
      <c r="E9">
        <v>97.35</v>
      </c>
      <c r="F9">
        <v>85.01</v>
      </c>
      <c r="G9">
        <v>72.92</v>
      </c>
      <c r="H9">
        <v>60.89</v>
      </c>
      <c r="I9">
        <v>49.03</v>
      </c>
      <c r="J9">
        <v>37.35</v>
      </c>
      <c r="K9">
        <v>25.9</v>
      </c>
      <c r="L9">
        <v>14.85</v>
      </c>
      <c r="N9">
        <f t="shared" si="0"/>
        <v>-0.65000000000000568</v>
      </c>
      <c r="O9">
        <f t="shared" si="1"/>
        <v>-9.2700000000000014</v>
      </c>
    </row>
    <row r="10" spans="1:15" x14ac:dyDescent="0.3">
      <c r="A10">
        <v>-140</v>
      </c>
      <c r="B10">
        <v>137.06</v>
      </c>
      <c r="C10">
        <v>124.2</v>
      </c>
      <c r="D10">
        <v>111.71</v>
      </c>
      <c r="E10">
        <v>99.84</v>
      </c>
      <c r="F10">
        <v>88.49</v>
      </c>
      <c r="G10">
        <v>77.400000000000006</v>
      </c>
      <c r="H10">
        <v>66.39</v>
      </c>
      <c r="I10">
        <v>55.42</v>
      </c>
      <c r="J10">
        <v>44.57</v>
      </c>
      <c r="K10">
        <v>33.979999999999997</v>
      </c>
      <c r="L10">
        <v>24.12</v>
      </c>
      <c r="N10">
        <f t="shared" si="0"/>
        <v>-0.62999999999999545</v>
      </c>
      <c r="O10">
        <f t="shared" si="1"/>
        <v>-8.2399999999999984</v>
      </c>
    </row>
    <row r="11" spans="1:15" x14ac:dyDescent="0.3">
      <c r="A11">
        <v>-135</v>
      </c>
      <c r="B11">
        <v>136.81</v>
      </c>
      <c r="C11">
        <v>124.83</v>
      </c>
      <c r="D11">
        <v>113.15</v>
      </c>
      <c r="E11">
        <v>102.11</v>
      </c>
      <c r="F11">
        <v>91.58</v>
      </c>
      <c r="G11">
        <v>81.430000000000007</v>
      </c>
      <c r="H11">
        <v>71.23</v>
      </c>
      <c r="I11">
        <v>60.97</v>
      </c>
      <c r="J11">
        <v>50.84</v>
      </c>
      <c r="K11">
        <v>41.39</v>
      </c>
      <c r="L11">
        <v>32.36</v>
      </c>
      <c r="N11">
        <f t="shared" si="0"/>
        <v>-0.62000000000000455</v>
      </c>
      <c r="O11">
        <f t="shared" si="1"/>
        <v>-7.990000000000002</v>
      </c>
    </row>
    <row r="12" spans="1:15" x14ac:dyDescent="0.3">
      <c r="A12">
        <v>-130</v>
      </c>
      <c r="B12">
        <v>136.41</v>
      </c>
      <c r="C12">
        <v>125.45</v>
      </c>
      <c r="D12">
        <v>114.75</v>
      </c>
      <c r="E12">
        <v>104.57</v>
      </c>
      <c r="F12">
        <v>94.9</v>
      </c>
      <c r="G12">
        <v>85.57</v>
      </c>
      <c r="H12">
        <v>75.97</v>
      </c>
      <c r="I12">
        <v>66.36</v>
      </c>
      <c r="J12">
        <v>57.36</v>
      </c>
      <c r="K12">
        <v>48.79</v>
      </c>
      <c r="L12">
        <v>40.35</v>
      </c>
      <c r="N12">
        <f t="shared" si="0"/>
        <v>-0.73000000000000398</v>
      </c>
      <c r="O12">
        <f t="shared" si="1"/>
        <v>-8.2999999999999972</v>
      </c>
    </row>
    <row r="13" spans="1:15" x14ac:dyDescent="0.3">
      <c r="A13">
        <v>-125</v>
      </c>
      <c r="B13">
        <v>136.01</v>
      </c>
      <c r="C13">
        <v>126.18</v>
      </c>
      <c r="D13">
        <v>116.55</v>
      </c>
      <c r="E13">
        <v>107.39</v>
      </c>
      <c r="F13">
        <v>98.8</v>
      </c>
      <c r="G13">
        <v>90.07</v>
      </c>
      <c r="H13">
        <v>81.08</v>
      </c>
      <c r="I13">
        <v>72.59</v>
      </c>
      <c r="J13">
        <v>64.540000000000006</v>
      </c>
      <c r="K13">
        <v>56.6</v>
      </c>
      <c r="L13">
        <v>48.65</v>
      </c>
      <c r="N13">
        <f t="shared" si="0"/>
        <v>-0.93999999999999773</v>
      </c>
      <c r="O13">
        <f t="shared" si="1"/>
        <v>-8.61</v>
      </c>
    </row>
    <row r="14" spans="1:15" x14ac:dyDescent="0.3">
      <c r="A14">
        <v>-120</v>
      </c>
      <c r="B14">
        <v>135.86000000000001</v>
      </c>
      <c r="C14">
        <v>127.12</v>
      </c>
      <c r="D14">
        <v>118.6</v>
      </c>
      <c r="E14">
        <v>110.73</v>
      </c>
      <c r="F14">
        <v>103.05</v>
      </c>
      <c r="G14">
        <v>94.92</v>
      </c>
      <c r="H14">
        <v>87.06</v>
      </c>
      <c r="I14">
        <v>79.58</v>
      </c>
      <c r="J14">
        <v>72.17</v>
      </c>
      <c r="K14">
        <v>64.739999999999995</v>
      </c>
      <c r="L14">
        <v>57.26</v>
      </c>
      <c r="N14">
        <f t="shared" si="0"/>
        <v>-1.2999999999999829</v>
      </c>
      <c r="O14">
        <f t="shared" si="1"/>
        <v>-8.720000000000006</v>
      </c>
    </row>
    <row r="15" spans="1:15" x14ac:dyDescent="0.3">
      <c r="A15">
        <v>-115</v>
      </c>
      <c r="B15">
        <v>136.04</v>
      </c>
      <c r="C15">
        <v>128.41999999999999</v>
      </c>
      <c r="D15">
        <v>121.08</v>
      </c>
      <c r="E15">
        <v>114.45</v>
      </c>
      <c r="F15">
        <v>107.58</v>
      </c>
      <c r="G15">
        <v>100.47</v>
      </c>
      <c r="H15">
        <v>93.63</v>
      </c>
      <c r="I15">
        <v>86.81</v>
      </c>
      <c r="J15">
        <v>79.930000000000007</v>
      </c>
      <c r="K15">
        <v>72.989999999999995</v>
      </c>
      <c r="L15">
        <v>65.98</v>
      </c>
      <c r="N15">
        <f t="shared" si="0"/>
        <v>-1.6800000000000068</v>
      </c>
      <c r="O15">
        <f t="shared" si="1"/>
        <v>-8.769999999999996</v>
      </c>
    </row>
    <row r="16" spans="1:15" x14ac:dyDescent="0.3">
      <c r="A16">
        <v>-110</v>
      </c>
      <c r="B16">
        <v>136.47999999999999</v>
      </c>
      <c r="C16">
        <v>130.1</v>
      </c>
      <c r="D16">
        <v>123.92</v>
      </c>
      <c r="E16">
        <v>118.35</v>
      </c>
      <c r="F16">
        <v>112.44</v>
      </c>
      <c r="G16">
        <v>106.4</v>
      </c>
      <c r="H16">
        <v>100.22</v>
      </c>
      <c r="I16">
        <v>93.93</v>
      </c>
      <c r="J16">
        <v>87.56</v>
      </c>
      <c r="K16">
        <v>81.13</v>
      </c>
      <c r="L16">
        <v>74.75</v>
      </c>
      <c r="N16">
        <f t="shared" si="0"/>
        <v>-1.7800000000000011</v>
      </c>
      <c r="O16">
        <f t="shared" si="1"/>
        <v>-8.9599999999999937</v>
      </c>
    </row>
    <row r="17" spans="1:15" x14ac:dyDescent="0.3">
      <c r="A17">
        <v>-105</v>
      </c>
      <c r="B17">
        <v>136.87</v>
      </c>
      <c r="C17">
        <v>131.88</v>
      </c>
      <c r="D17">
        <v>126.92</v>
      </c>
      <c r="E17">
        <v>122.28</v>
      </c>
      <c r="F17">
        <v>117.47</v>
      </c>
      <c r="G17">
        <v>112.14</v>
      </c>
      <c r="H17">
        <v>106.51</v>
      </c>
      <c r="I17">
        <v>100.74</v>
      </c>
      <c r="J17">
        <v>94.95</v>
      </c>
      <c r="K17">
        <v>89.21</v>
      </c>
      <c r="L17">
        <v>83.71</v>
      </c>
      <c r="N17">
        <f t="shared" si="0"/>
        <v>-1.8000000000000114</v>
      </c>
      <c r="O17">
        <f t="shared" si="1"/>
        <v>-9.6300000000000097</v>
      </c>
    </row>
    <row r="18" spans="1:15" x14ac:dyDescent="0.3">
      <c r="A18">
        <v>-100</v>
      </c>
      <c r="B18">
        <v>137.13</v>
      </c>
      <c r="C18">
        <v>133.68</v>
      </c>
      <c r="D18">
        <v>130.05000000000001</v>
      </c>
      <c r="E18">
        <v>126.49</v>
      </c>
      <c r="F18">
        <v>122.59</v>
      </c>
      <c r="G18">
        <v>117.86</v>
      </c>
      <c r="H18">
        <v>112.81</v>
      </c>
      <c r="I18">
        <v>107.7</v>
      </c>
      <c r="J18">
        <v>102.64</v>
      </c>
      <c r="K18">
        <v>97.79</v>
      </c>
      <c r="L18">
        <v>93.34</v>
      </c>
      <c r="N18">
        <f t="shared" si="0"/>
        <v>-1.789999999999992</v>
      </c>
      <c r="O18">
        <f t="shared" si="1"/>
        <v>-10.539999999999992</v>
      </c>
    </row>
    <row r="19" spans="1:15" x14ac:dyDescent="0.3">
      <c r="A19">
        <v>-95</v>
      </c>
      <c r="B19">
        <v>137.31</v>
      </c>
      <c r="C19">
        <v>135.47</v>
      </c>
      <c r="D19">
        <v>133.18</v>
      </c>
      <c r="E19">
        <v>130.78</v>
      </c>
      <c r="F19">
        <v>127.62</v>
      </c>
      <c r="G19">
        <v>123.58</v>
      </c>
      <c r="H19">
        <v>119.33</v>
      </c>
      <c r="I19">
        <v>115.04</v>
      </c>
      <c r="J19">
        <v>110.92</v>
      </c>
      <c r="K19">
        <v>107.22</v>
      </c>
      <c r="L19">
        <v>103.88</v>
      </c>
      <c r="N19">
        <f t="shared" si="0"/>
        <v>-1.6299999999999955</v>
      </c>
      <c r="O19">
        <f t="shared" si="1"/>
        <v>-11.040000000000006</v>
      </c>
    </row>
    <row r="20" spans="1:15" x14ac:dyDescent="0.3">
      <c r="A20">
        <v>-90</v>
      </c>
      <c r="B20">
        <v>137.38999999999999</v>
      </c>
      <c r="C20">
        <v>137.1</v>
      </c>
      <c r="D20">
        <v>136.22</v>
      </c>
      <c r="E20">
        <v>135.05000000000001</v>
      </c>
      <c r="F20">
        <v>132.69</v>
      </c>
      <c r="G20">
        <v>129.63999999999999</v>
      </c>
      <c r="H20">
        <v>126.32</v>
      </c>
      <c r="I20">
        <v>122.97</v>
      </c>
      <c r="J20">
        <v>119.98</v>
      </c>
      <c r="K20">
        <v>117.35</v>
      </c>
      <c r="L20">
        <v>114.92</v>
      </c>
      <c r="N20">
        <f t="shared" si="0"/>
        <v>-1.5</v>
      </c>
      <c r="O20">
        <f t="shared" si="1"/>
        <v>-10.989999999999995</v>
      </c>
    </row>
    <row r="21" spans="1:15" x14ac:dyDescent="0.3">
      <c r="A21">
        <v>-85</v>
      </c>
      <c r="B21">
        <v>137.31</v>
      </c>
      <c r="C21">
        <v>138.6</v>
      </c>
      <c r="D21">
        <v>139.24</v>
      </c>
      <c r="E21">
        <v>139.24</v>
      </c>
      <c r="F21">
        <v>137.84</v>
      </c>
      <c r="G21">
        <v>135.77000000000001</v>
      </c>
      <c r="H21">
        <v>133.47</v>
      </c>
      <c r="I21">
        <v>131.31</v>
      </c>
      <c r="J21">
        <v>129.38</v>
      </c>
      <c r="K21">
        <v>127.6</v>
      </c>
      <c r="L21">
        <v>125.91</v>
      </c>
      <c r="N21">
        <f t="shared" si="0"/>
        <v>-1.5</v>
      </c>
      <c r="O21">
        <f t="shared" si="1"/>
        <v>-10.469999999999999</v>
      </c>
    </row>
    <row r="22" spans="1:15" x14ac:dyDescent="0.3">
      <c r="A22">
        <v>-80</v>
      </c>
      <c r="B22">
        <v>137.13</v>
      </c>
      <c r="C22">
        <v>140.1</v>
      </c>
      <c r="D22">
        <v>142.33000000000001</v>
      </c>
      <c r="E22">
        <v>143.47</v>
      </c>
      <c r="F22">
        <v>142.97999999999999</v>
      </c>
      <c r="G22">
        <v>141.91</v>
      </c>
      <c r="H22">
        <v>140.75</v>
      </c>
      <c r="I22">
        <v>139.6</v>
      </c>
      <c r="J22">
        <v>138.5</v>
      </c>
      <c r="K22">
        <v>137.43</v>
      </c>
      <c r="L22">
        <v>136.38</v>
      </c>
      <c r="N22">
        <f t="shared" si="0"/>
        <v>-1.3600000000000136</v>
      </c>
      <c r="O22">
        <f t="shared" si="1"/>
        <v>-9.7700000000000102</v>
      </c>
    </row>
    <row r="23" spans="1:15" x14ac:dyDescent="0.3">
      <c r="A23">
        <v>-75</v>
      </c>
      <c r="B23">
        <v>136.88</v>
      </c>
      <c r="C23">
        <v>141.46</v>
      </c>
      <c r="D23">
        <v>145.27000000000001</v>
      </c>
      <c r="E23">
        <v>147.63</v>
      </c>
      <c r="F23">
        <v>148.1</v>
      </c>
      <c r="G23">
        <v>148.02000000000001</v>
      </c>
      <c r="H23">
        <v>147.81</v>
      </c>
      <c r="I23">
        <v>147.47</v>
      </c>
      <c r="J23">
        <v>147.06</v>
      </c>
      <c r="K23">
        <v>146.6</v>
      </c>
      <c r="L23">
        <v>146.15</v>
      </c>
      <c r="N23">
        <f t="shared" si="0"/>
        <v>-1.0900000000000034</v>
      </c>
      <c r="O23">
        <f t="shared" si="1"/>
        <v>-9.5799999999999841</v>
      </c>
    </row>
    <row r="24" spans="1:15" x14ac:dyDescent="0.3">
      <c r="A24">
        <v>-70</v>
      </c>
      <c r="B24">
        <v>136.46</v>
      </c>
      <c r="C24">
        <v>142.55000000000001</v>
      </c>
      <c r="D24">
        <v>147.87</v>
      </c>
      <c r="E24">
        <v>151.44999999999999</v>
      </c>
      <c r="F24">
        <v>152.94</v>
      </c>
      <c r="G24">
        <v>153.82</v>
      </c>
      <c r="H24">
        <v>154.46</v>
      </c>
      <c r="I24">
        <v>154.9</v>
      </c>
      <c r="J24">
        <v>155.19999999999999</v>
      </c>
      <c r="K24">
        <v>155.44999999999999</v>
      </c>
      <c r="L24">
        <v>155.72999999999999</v>
      </c>
      <c r="N24">
        <f t="shared" si="0"/>
        <v>-0.91999999999998749</v>
      </c>
      <c r="O24">
        <f t="shared" si="1"/>
        <v>-10.150000000000006</v>
      </c>
    </row>
    <row r="25" spans="1:15" x14ac:dyDescent="0.3">
      <c r="A25">
        <v>-65</v>
      </c>
      <c r="B25">
        <v>136.04</v>
      </c>
      <c r="C25">
        <v>143.47</v>
      </c>
      <c r="D25">
        <v>150.1</v>
      </c>
      <c r="E25">
        <v>154.78</v>
      </c>
      <c r="F25">
        <v>157.38999999999999</v>
      </c>
      <c r="G25">
        <v>159.25</v>
      </c>
      <c r="H25">
        <v>160.83000000000001</v>
      </c>
      <c r="I25">
        <v>162.13999999999999</v>
      </c>
      <c r="J25">
        <v>163.30000000000001</v>
      </c>
      <c r="K25">
        <v>164.47</v>
      </c>
      <c r="L25">
        <v>165.88</v>
      </c>
      <c r="N25">
        <f t="shared" si="0"/>
        <v>-0.99000000000000909</v>
      </c>
      <c r="O25">
        <f t="shared" si="1"/>
        <v>-11.409999999999997</v>
      </c>
    </row>
    <row r="26" spans="1:15" x14ac:dyDescent="0.3">
      <c r="A26">
        <v>-60</v>
      </c>
      <c r="B26">
        <v>135.86000000000001</v>
      </c>
      <c r="C26">
        <v>144.46</v>
      </c>
      <c r="D26">
        <v>152.31</v>
      </c>
      <c r="E26">
        <v>158.08000000000001</v>
      </c>
      <c r="F26">
        <v>161.88999999999999</v>
      </c>
      <c r="G26">
        <v>164.77</v>
      </c>
      <c r="H26">
        <v>167.24</v>
      </c>
      <c r="I26">
        <v>169.59</v>
      </c>
      <c r="J26">
        <v>171.96</v>
      </c>
      <c r="K26">
        <v>174.49</v>
      </c>
      <c r="L26">
        <v>177.29</v>
      </c>
      <c r="N26">
        <f t="shared" si="0"/>
        <v>-1.2800000000000011</v>
      </c>
      <c r="O26">
        <f t="shared" si="1"/>
        <v>-11.860000000000014</v>
      </c>
    </row>
    <row r="27" spans="1:15" x14ac:dyDescent="0.3">
      <c r="A27">
        <v>-55</v>
      </c>
      <c r="B27">
        <v>136.01</v>
      </c>
      <c r="C27">
        <v>145.74</v>
      </c>
      <c r="D27">
        <v>154.78</v>
      </c>
      <c r="E27">
        <v>161.85</v>
      </c>
      <c r="F27">
        <v>167.04</v>
      </c>
      <c r="G27">
        <v>171.04</v>
      </c>
      <c r="H27">
        <v>174.53</v>
      </c>
      <c r="I27">
        <v>177.99</v>
      </c>
      <c r="J27">
        <v>181.59</v>
      </c>
      <c r="K27">
        <v>185.36</v>
      </c>
      <c r="L27">
        <v>189.15</v>
      </c>
      <c r="N27">
        <f t="shared" si="0"/>
        <v>-1.5300000000000011</v>
      </c>
      <c r="O27">
        <f t="shared" si="1"/>
        <v>-11.689999999999998</v>
      </c>
    </row>
    <row r="28" spans="1:15" x14ac:dyDescent="0.3">
      <c r="A28">
        <v>-50</v>
      </c>
      <c r="B28">
        <v>136.41</v>
      </c>
      <c r="C28">
        <v>147.27000000000001</v>
      </c>
      <c r="D28">
        <v>157.35</v>
      </c>
      <c r="E28">
        <v>165.63</v>
      </c>
      <c r="F28">
        <v>172.3</v>
      </c>
      <c r="G28">
        <v>177.54</v>
      </c>
      <c r="H28">
        <v>182.15</v>
      </c>
      <c r="I28">
        <v>186.77</v>
      </c>
      <c r="J28">
        <v>191.56</v>
      </c>
      <c r="K28">
        <v>196.24</v>
      </c>
      <c r="L28">
        <v>200.84</v>
      </c>
      <c r="N28">
        <f t="shared" si="0"/>
        <v>-1.4299999999999784</v>
      </c>
      <c r="O28">
        <f t="shared" si="1"/>
        <v>-11.579999999999984</v>
      </c>
    </row>
    <row r="29" spans="1:15" x14ac:dyDescent="0.3">
      <c r="A29">
        <v>-45</v>
      </c>
      <c r="B29">
        <v>136.80000000000001</v>
      </c>
      <c r="C29">
        <v>148.69999999999999</v>
      </c>
      <c r="D29">
        <v>159.79</v>
      </c>
      <c r="E29">
        <v>169.33</v>
      </c>
      <c r="F29">
        <v>177.39</v>
      </c>
      <c r="G29">
        <v>183.92</v>
      </c>
      <c r="H29">
        <v>189.87</v>
      </c>
      <c r="I29">
        <v>195.81</v>
      </c>
      <c r="J29">
        <v>201.49</v>
      </c>
      <c r="K29">
        <v>207</v>
      </c>
      <c r="L29">
        <v>212.42</v>
      </c>
      <c r="N29">
        <f t="shared" si="0"/>
        <v>-1.2199999999999989</v>
      </c>
      <c r="O29">
        <f t="shared" si="1"/>
        <v>-11.430000000000007</v>
      </c>
    </row>
    <row r="30" spans="1:15" x14ac:dyDescent="0.3">
      <c r="A30">
        <v>-40</v>
      </c>
      <c r="B30">
        <v>137.06</v>
      </c>
      <c r="C30">
        <v>149.91999999999999</v>
      </c>
      <c r="D30">
        <v>161.9</v>
      </c>
      <c r="E30">
        <v>172.65</v>
      </c>
      <c r="F30">
        <v>182.12</v>
      </c>
      <c r="G30">
        <v>190.18</v>
      </c>
      <c r="H30">
        <v>197.87</v>
      </c>
      <c r="I30">
        <v>204.76</v>
      </c>
      <c r="J30">
        <v>211.11</v>
      </c>
      <c r="K30">
        <v>217.39</v>
      </c>
      <c r="L30">
        <v>223.85</v>
      </c>
      <c r="N30">
        <f t="shared" si="0"/>
        <v>-0.96999999999999886</v>
      </c>
      <c r="O30">
        <f t="shared" si="1"/>
        <v>-11.480000000000018</v>
      </c>
    </row>
    <row r="31" spans="1:15" x14ac:dyDescent="0.3">
      <c r="A31">
        <v>-35</v>
      </c>
      <c r="B31">
        <v>137.22</v>
      </c>
      <c r="C31">
        <v>150.88999999999999</v>
      </c>
      <c r="D31">
        <v>163.66</v>
      </c>
      <c r="E31">
        <v>175.52</v>
      </c>
      <c r="F31">
        <v>186.43</v>
      </c>
      <c r="G31">
        <v>196.58</v>
      </c>
      <c r="H31">
        <v>205.8</v>
      </c>
      <c r="I31">
        <v>213.62</v>
      </c>
      <c r="J31">
        <v>220.75</v>
      </c>
      <c r="K31">
        <v>227.86</v>
      </c>
      <c r="L31">
        <v>235.33</v>
      </c>
      <c r="N31">
        <f t="shared" si="0"/>
        <v>-0.76000000000001933</v>
      </c>
      <c r="O31">
        <f t="shared" si="1"/>
        <v>-9.6099999999999852</v>
      </c>
    </row>
    <row r="32" spans="1:15" x14ac:dyDescent="0.3">
      <c r="A32">
        <v>-30</v>
      </c>
      <c r="B32">
        <v>137.29</v>
      </c>
      <c r="C32">
        <v>151.65</v>
      </c>
      <c r="D32">
        <v>165.29</v>
      </c>
      <c r="E32">
        <v>178.39</v>
      </c>
      <c r="F32">
        <v>190.78</v>
      </c>
      <c r="G32">
        <v>202.91</v>
      </c>
      <c r="H32">
        <v>213.31</v>
      </c>
      <c r="I32">
        <v>222.05</v>
      </c>
      <c r="J32">
        <v>229.97</v>
      </c>
      <c r="K32">
        <v>237.79</v>
      </c>
      <c r="L32">
        <v>244.94</v>
      </c>
      <c r="N32">
        <f t="shared" si="0"/>
        <v>-0.75</v>
      </c>
      <c r="O32">
        <f t="shared" si="1"/>
        <v>-8.0500000000000114</v>
      </c>
    </row>
    <row r="33" spans="1:15" x14ac:dyDescent="0.3">
      <c r="A33">
        <v>-25</v>
      </c>
      <c r="B33">
        <v>137.19</v>
      </c>
      <c r="C33">
        <v>152.4</v>
      </c>
      <c r="D33">
        <v>166.91</v>
      </c>
      <c r="E33">
        <v>180.97</v>
      </c>
      <c r="F33">
        <v>194.58</v>
      </c>
      <c r="G33">
        <v>208.44</v>
      </c>
      <c r="H33">
        <v>219.87</v>
      </c>
      <c r="I33">
        <v>229.42</v>
      </c>
      <c r="J33">
        <v>237.79</v>
      </c>
      <c r="K33">
        <v>245.57</v>
      </c>
      <c r="L33">
        <v>252.99</v>
      </c>
      <c r="N33">
        <f t="shared" si="0"/>
        <v>-0.59999999999999432</v>
      </c>
      <c r="O33">
        <f t="shared" si="1"/>
        <v>-7.5099999999999909</v>
      </c>
    </row>
    <row r="34" spans="1:15" x14ac:dyDescent="0.3">
      <c r="A34">
        <v>-20</v>
      </c>
      <c r="B34">
        <v>136.99</v>
      </c>
      <c r="C34">
        <v>153</v>
      </c>
      <c r="D34">
        <v>168.2</v>
      </c>
      <c r="E34">
        <v>182.83</v>
      </c>
      <c r="F34">
        <v>197.38</v>
      </c>
      <c r="G34">
        <v>212.69</v>
      </c>
      <c r="H34">
        <v>225.1</v>
      </c>
      <c r="I34">
        <v>235.42</v>
      </c>
      <c r="J34">
        <v>244.3</v>
      </c>
      <c r="K34">
        <v>252.55</v>
      </c>
      <c r="L34">
        <v>260.5</v>
      </c>
      <c r="N34">
        <f t="shared" si="0"/>
        <v>-0.31000000000000227</v>
      </c>
      <c r="O34">
        <f t="shared" si="1"/>
        <v>-6.5600000000000023</v>
      </c>
    </row>
    <row r="35" spans="1:15" x14ac:dyDescent="0.3">
      <c r="A35">
        <v>-15</v>
      </c>
      <c r="B35">
        <v>136.72</v>
      </c>
      <c r="C35">
        <v>153.31</v>
      </c>
      <c r="D35">
        <v>169.05</v>
      </c>
      <c r="E35">
        <v>184.16</v>
      </c>
      <c r="F35">
        <v>199.26</v>
      </c>
      <c r="G35">
        <v>215.59</v>
      </c>
      <c r="H35">
        <v>229.39</v>
      </c>
      <c r="I35">
        <v>240.85</v>
      </c>
      <c r="J35">
        <v>250.11</v>
      </c>
      <c r="K35">
        <v>258.73</v>
      </c>
      <c r="L35">
        <v>267.06</v>
      </c>
      <c r="N35">
        <f t="shared" si="0"/>
        <v>2.0000000000010232E-2</v>
      </c>
      <c r="O35">
        <f t="shared" si="1"/>
        <v>-4.8299999999999841</v>
      </c>
    </row>
    <row r="36" spans="1:15" x14ac:dyDescent="0.3">
      <c r="A36">
        <v>-10</v>
      </c>
      <c r="B36">
        <v>136.31</v>
      </c>
      <c r="C36">
        <v>153.29</v>
      </c>
      <c r="D36">
        <v>169.49</v>
      </c>
      <c r="E36">
        <v>184.95</v>
      </c>
      <c r="F36">
        <v>200.63</v>
      </c>
      <c r="G36">
        <v>218.19</v>
      </c>
      <c r="H36">
        <v>233.54</v>
      </c>
      <c r="I36">
        <v>245.13</v>
      </c>
      <c r="J36">
        <v>254.62</v>
      </c>
      <c r="K36">
        <v>263.35000000000002</v>
      </c>
      <c r="L36">
        <v>271.89</v>
      </c>
      <c r="N36">
        <f t="shared" si="0"/>
        <v>0.21999999999999886</v>
      </c>
      <c r="O36">
        <f t="shared" si="1"/>
        <v>-2.8199999999999932</v>
      </c>
    </row>
    <row r="37" spans="1:15" x14ac:dyDescent="0.3">
      <c r="A37">
        <v>-5</v>
      </c>
      <c r="B37">
        <v>135.88999999999999</v>
      </c>
      <c r="C37">
        <v>153.07</v>
      </c>
      <c r="D37">
        <v>169.6</v>
      </c>
      <c r="E37">
        <v>185.49</v>
      </c>
      <c r="F37">
        <v>202.04</v>
      </c>
      <c r="G37">
        <v>220.23</v>
      </c>
      <c r="H37">
        <v>236.21</v>
      </c>
      <c r="I37">
        <v>247.72</v>
      </c>
      <c r="J37">
        <v>256.92</v>
      </c>
      <c r="K37">
        <v>266.04000000000002</v>
      </c>
      <c r="L37">
        <v>274.70999999999998</v>
      </c>
      <c r="N37">
        <f t="shared" si="0"/>
        <v>0.12999999999999545</v>
      </c>
      <c r="O37">
        <f t="shared" si="1"/>
        <v>-0.98000000000001819</v>
      </c>
    </row>
    <row r="38" spans="1:15" x14ac:dyDescent="0.3">
      <c r="A38">
        <v>0</v>
      </c>
      <c r="B38">
        <v>135.72</v>
      </c>
      <c r="C38">
        <v>152.94</v>
      </c>
      <c r="D38">
        <v>169.61</v>
      </c>
      <c r="E38">
        <v>185.72</v>
      </c>
      <c r="F38">
        <v>202.57</v>
      </c>
      <c r="G38">
        <v>220.87</v>
      </c>
      <c r="H38">
        <v>237.16</v>
      </c>
      <c r="I38">
        <v>248.38</v>
      </c>
      <c r="J38">
        <v>257.7</v>
      </c>
      <c r="K38">
        <v>266.95</v>
      </c>
      <c r="L38">
        <v>275.69</v>
      </c>
      <c r="N38">
        <f t="shared" si="0"/>
        <v>-0.12999999999999545</v>
      </c>
      <c r="O38">
        <f t="shared" si="1"/>
        <v>0.98000000000001819</v>
      </c>
    </row>
    <row r="39" spans="1:15" x14ac:dyDescent="0.3">
      <c r="A39">
        <v>5</v>
      </c>
      <c r="B39">
        <v>135.9</v>
      </c>
      <c r="C39">
        <v>153.07</v>
      </c>
      <c r="D39">
        <v>169.6</v>
      </c>
      <c r="E39">
        <v>185.49</v>
      </c>
      <c r="F39">
        <v>202.05</v>
      </c>
      <c r="G39">
        <v>220.24</v>
      </c>
      <c r="H39">
        <v>236.21</v>
      </c>
      <c r="I39">
        <v>247.72</v>
      </c>
      <c r="J39">
        <v>256.92</v>
      </c>
      <c r="K39">
        <v>266.04000000000002</v>
      </c>
      <c r="L39">
        <v>274.70999999999998</v>
      </c>
      <c r="N39">
        <f t="shared" si="0"/>
        <v>-0.21999999999999886</v>
      </c>
      <c r="O39">
        <f t="shared" si="1"/>
        <v>2.8199999999999932</v>
      </c>
    </row>
    <row r="40" spans="1:15" x14ac:dyDescent="0.3">
      <c r="A40">
        <v>10</v>
      </c>
      <c r="B40">
        <v>136.31</v>
      </c>
      <c r="C40">
        <v>153.29</v>
      </c>
      <c r="D40">
        <v>169.49</v>
      </c>
      <c r="E40">
        <v>184.94</v>
      </c>
      <c r="F40">
        <v>200.64</v>
      </c>
      <c r="G40">
        <v>218.19</v>
      </c>
      <c r="H40">
        <v>233.55</v>
      </c>
      <c r="I40">
        <v>245.14</v>
      </c>
      <c r="J40">
        <v>254.63</v>
      </c>
      <c r="K40">
        <v>263.35000000000002</v>
      </c>
      <c r="L40">
        <v>271.89</v>
      </c>
      <c r="N40">
        <f t="shared" si="0"/>
        <v>-2.0000000000010232E-2</v>
      </c>
      <c r="O40">
        <f t="shared" si="1"/>
        <v>4.8299999999999841</v>
      </c>
    </row>
    <row r="41" spans="1:15" x14ac:dyDescent="0.3">
      <c r="A41">
        <v>15</v>
      </c>
      <c r="B41">
        <v>136.72</v>
      </c>
      <c r="C41">
        <v>153.31</v>
      </c>
      <c r="D41">
        <v>169.06</v>
      </c>
      <c r="E41">
        <v>184.16</v>
      </c>
      <c r="F41">
        <v>199.26</v>
      </c>
      <c r="G41">
        <v>215.58</v>
      </c>
      <c r="H41">
        <v>229.4</v>
      </c>
      <c r="I41">
        <v>240.86</v>
      </c>
      <c r="J41">
        <v>250.12</v>
      </c>
      <c r="K41">
        <v>258.73</v>
      </c>
      <c r="L41">
        <v>267.06</v>
      </c>
      <c r="N41">
        <f t="shared" si="0"/>
        <v>0.31999999999999318</v>
      </c>
      <c r="O41">
        <f t="shared" si="1"/>
        <v>6.5600000000000023</v>
      </c>
    </row>
    <row r="42" spans="1:15" x14ac:dyDescent="0.3">
      <c r="A42">
        <v>20</v>
      </c>
      <c r="B42">
        <v>136.99</v>
      </c>
      <c r="C42">
        <v>152.99</v>
      </c>
      <c r="D42">
        <v>168.19</v>
      </c>
      <c r="E42">
        <v>182.82</v>
      </c>
      <c r="F42">
        <v>197.4</v>
      </c>
      <c r="G42">
        <v>212.7</v>
      </c>
      <c r="H42">
        <v>225.09</v>
      </c>
      <c r="I42">
        <v>235.42</v>
      </c>
      <c r="J42">
        <v>244.29</v>
      </c>
      <c r="K42">
        <v>252.55</v>
      </c>
      <c r="L42">
        <v>260.5</v>
      </c>
      <c r="N42">
        <f t="shared" si="0"/>
        <v>0.60000000000002274</v>
      </c>
      <c r="O42">
        <f t="shared" si="1"/>
        <v>7.5200000000000102</v>
      </c>
    </row>
    <row r="43" spans="1:15" x14ac:dyDescent="0.3">
      <c r="A43">
        <v>25</v>
      </c>
      <c r="B43">
        <v>137.18</v>
      </c>
      <c r="C43">
        <v>152.38999999999999</v>
      </c>
      <c r="D43">
        <v>166.91</v>
      </c>
      <c r="E43">
        <v>180.98</v>
      </c>
      <c r="F43">
        <v>194.59</v>
      </c>
      <c r="G43">
        <v>208.45</v>
      </c>
      <c r="H43">
        <v>219.87</v>
      </c>
      <c r="I43">
        <v>229.41</v>
      </c>
      <c r="J43">
        <v>237.78</v>
      </c>
      <c r="K43">
        <v>245.55</v>
      </c>
      <c r="L43">
        <v>252.98</v>
      </c>
      <c r="N43">
        <f t="shared" si="0"/>
        <v>0.75</v>
      </c>
      <c r="O43">
        <f t="shared" si="1"/>
        <v>8.0499999999999829</v>
      </c>
    </row>
    <row r="44" spans="1:15" x14ac:dyDescent="0.3">
      <c r="A44">
        <v>30</v>
      </c>
      <c r="B44">
        <v>137.29</v>
      </c>
      <c r="C44">
        <v>151.63999999999999</v>
      </c>
      <c r="D44">
        <v>165.29</v>
      </c>
      <c r="E44">
        <v>178.39</v>
      </c>
      <c r="F44">
        <v>190.78</v>
      </c>
      <c r="G44">
        <v>202.91</v>
      </c>
      <c r="H44">
        <v>213.3</v>
      </c>
      <c r="I44">
        <v>222.04</v>
      </c>
      <c r="J44">
        <v>229.96</v>
      </c>
      <c r="K44">
        <v>237.78</v>
      </c>
      <c r="L44">
        <v>244.93</v>
      </c>
      <c r="N44">
        <f t="shared" si="0"/>
        <v>0.76999999999998181</v>
      </c>
      <c r="O44">
        <f t="shared" si="1"/>
        <v>9.5900000000000034</v>
      </c>
    </row>
    <row r="45" spans="1:15" x14ac:dyDescent="0.3">
      <c r="A45">
        <v>35</v>
      </c>
      <c r="B45">
        <v>137.22</v>
      </c>
      <c r="C45">
        <v>150.87</v>
      </c>
      <c r="D45">
        <v>163.63999999999999</v>
      </c>
      <c r="E45">
        <v>175.52</v>
      </c>
      <c r="F45">
        <v>186.43</v>
      </c>
      <c r="G45">
        <v>196.57</v>
      </c>
      <c r="H45">
        <v>205.79</v>
      </c>
      <c r="I45">
        <v>213.61</v>
      </c>
      <c r="J45">
        <v>220.74</v>
      </c>
      <c r="K45">
        <v>227.86</v>
      </c>
      <c r="L45">
        <v>235.34</v>
      </c>
      <c r="N45">
        <f t="shared" si="0"/>
        <v>0.96000000000000796</v>
      </c>
      <c r="O45">
        <f t="shared" si="1"/>
        <v>11.490000000000009</v>
      </c>
    </row>
    <row r="46" spans="1:15" x14ac:dyDescent="0.3">
      <c r="A46">
        <v>40</v>
      </c>
      <c r="B46">
        <v>137.05000000000001</v>
      </c>
      <c r="C46">
        <v>149.91</v>
      </c>
      <c r="D46">
        <v>161.88999999999999</v>
      </c>
      <c r="E46">
        <v>172.65</v>
      </c>
      <c r="F46">
        <v>182.12</v>
      </c>
      <c r="G46">
        <v>190.18</v>
      </c>
      <c r="H46">
        <v>197.86</v>
      </c>
      <c r="I46">
        <v>204.75</v>
      </c>
      <c r="J46">
        <v>211.11</v>
      </c>
      <c r="K46">
        <v>217.38</v>
      </c>
      <c r="L46">
        <v>223.85</v>
      </c>
      <c r="N46">
        <f t="shared" si="0"/>
        <v>1.2199999999999989</v>
      </c>
      <c r="O46">
        <f t="shared" si="1"/>
        <v>11.430000000000007</v>
      </c>
    </row>
    <row r="47" spans="1:15" x14ac:dyDescent="0.3">
      <c r="A47">
        <v>45</v>
      </c>
      <c r="B47">
        <v>136.80000000000001</v>
      </c>
      <c r="C47">
        <v>148.69</v>
      </c>
      <c r="D47">
        <v>159.78</v>
      </c>
      <c r="E47">
        <v>169.33</v>
      </c>
      <c r="F47">
        <v>177.39</v>
      </c>
      <c r="G47">
        <v>183.92</v>
      </c>
      <c r="H47">
        <v>189.86</v>
      </c>
      <c r="I47">
        <v>195.8</v>
      </c>
      <c r="J47">
        <v>201.48</v>
      </c>
      <c r="K47">
        <v>206.99</v>
      </c>
      <c r="L47">
        <v>212.42</v>
      </c>
      <c r="N47">
        <f t="shared" si="0"/>
        <v>1.4300000000000068</v>
      </c>
      <c r="O47">
        <f t="shared" si="1"/>
        <v>11.589999999999975</v>
      </c>
    </row>
    <row r="48" spans="1:15" x14ac:dyDescent="0.3">
      <c r="A48">
        <v>50</v>
      </c>
      <c r="B48">
        <v>136.41</v>
      </c>
      <c r="C48">
        <v>147.26</v>
      </c>
      <c r="D48">
        <v>157.34</v>
      </c>
      <c r="E48">
        <v>165.63</v>
      </c>
      <c r="F48">
        <v>172.29</v>
      </c>
      <c r="G48">
        <v>177.53</v>
      </c>
      <c r="H48">
        <v>182.14</v>
      </c>
      <c r="I48">
        <v>186.76</v>
      </c>
      <c r="J48">
        <v>191.55</v>
      </c>
      <c r="K48">
        <v>196.23</v>
      </c>
      <c r="L48">
        <v>200.83</v>
      </c>
      <c r="N48">
        <f t="shared" si="0"/>
        <v>1.539999999999992</v>
      </c>
      <c r="O48">
        <f t="shared" si="1"/>
        <v>11.710000000000008</v>
      </c>
    </row>
    <row r="49" spans="1:15" x14ac:dyDescent="0.3">
      <c r="A49">
        <v>55</v>
      </c>
      <c r="B49">
        <v>136.01</v>
      </c>
      <c r="C49">
        <v>145.72</v>
      </c>
      <c r="D49">
        <v>154.77000000000001</v>
      </c>
      <c r="E49">
        <v>161.85</v>
      </c>
      <c r="F49">
        <v>167.03</v>
      </c>
      <c r="G49">
        <v>171.02</v>
      </c>
      <c r="H49">
        <v>174.51</v>
      </c>
      <c r="I49">
        <v>177.96</v>
      </c>
      <c r="J49">
        <v>181.57</v>
      </c>
      <c r="K49">
        <v>185.33</v>
      </c>
      <c r="L49">
        <v>189.12</v>
      </c>
      <c r="N49">
        <f t="shared" si="0"/>
        <v>1.2800000000000011</v>
      </c>
      <c r="O49">
        <f t="shared" si="1"/>
        <v>11.860000000000014</v>
      </c>
    </row>
    <row r="50" spans="1:15" x14ac:dyDescent="0.3">
      <c r="A50">
        <v>60</v>
      </c>
      <c r="B50">
        <v>135.86000000000001</v>
      </c>
      <c r="C50">
        <v>144.44</v>
      </c>
      <c r="D50">
        <v>152.29</v>
      </c>
      <c r="E50">
        <v>158.07</v>
      </c>
      <c r="F50">
        <v>161.87</v>
      </c>
      <c r="G50">
        <v>164.75</v>
      </c>
      <c r="H50">
        <v>167.22</v>
      </c>
      <c r="I50">
        <v>169.56</v>
      </c>
      <c r="J50">
        <v>171.92</v>
      </c>
      <c r="K50">
        <v>174.45</v>
      </c>
      <c r="L50">
        <v>177.26</v>
      </c>
      <c r="N50">
        <f t="shared" si="0"/>
        <v>0.97999999999998977</v>
      </c>
      <c r="O50">
        <f t="shared" si="1"/>
        <v>11.409999999999997</v>
      </c>
    </row>
    <row r="51" spans="1:15" x14ac:dyDescent="0.3">
      <c r="A51">
        <v>65</v>
      </c>
      <c r="B51">
        <v>136.04</v>
      </c>
      <c r="C51">
        <v>143.46</v>
      </c>
      <c r="D51">
        <v>150.08000000000001</v>
      </c>
      <c r="E51">
        <v>154.77000000000001</v>
      </c>
      <c r="F51">
        <v>157.38</v>
      </c>
      <c r="G51">
        <v>159.24</v>
      </c>
      <c r="H51">
        <v>160.81</v>
      </c>
      <c r="I51">
        <v>162.11000000000001</v>
      </c>
      <c r="J51">
        <v>163.27000000000001</v>
      </c>
      <c r="K51">
        <v>164.45</v>
      </c>
      <c r="L51">
        <v>165.85</v>
      </c>
      <c r="N51">
        <f t="shared" si="0"/>
        <v>0.92000000000001592</v>
      </c>
      <c r="O51">
        <f t="shared" si="1"/>
        <v>10.120000000000005</v>
      </c>
    </row>
    <row r="52" spans="1:15" x14ac:dyDescent="0.3">
      <c r="A52">
        <v>70</v>
      </c>
      <c r="B52">
        <v>136.47</v>
      </c>
      <c r="C52">
        <v>142.54</v>
      </c>
      <c r="D52">
        <v>147.85</v>
      </c>
      <c r="E52">
        <v>151.43</v>
      </c>
      <c r="F52">
        <v>152.93</v>
      </c>
      <c r="G52">
        <v>153.81</v>
      </c>
      <c r="H52">
        <v>154.46</v>
      </c>
      <c r="I52">
        <v>154.9</v>
      </c>
      <c r="J52">
        <v>155.21</v>
      </c>
      <c r="K52">
        <v>155.44999999999999</v>
      </c>
      <c r="L52">
        <v>155.72999999999999</v>
      </c>
      <c r="N52">
        <f t="shared" si="0"/>
        <v>1.0900000000000034</v>
      </c>
      <c r="O52">
        <f t="shared" si="1"/>
        <v>9.5999999999999943</v>
      </c>
    </row>
    <row r="53" spans="1:15" x14ac:dyDescent="0.3">
      <c r="A53">
        <v>75</v>
      </c>
      <c r="B53">
        <v>136.87</v>
      </c>
      <c r="C53">
        <v>141.44999999999999</v>
      </c>
      <c r="D53">
        <v>145.26</v>
      </c>
      <c r="E53">
        <v>147.62</v>
      </c>
      <c r="F53">
        <v>148.09</v>
      </c>
      <c r="G53">
        <v>148</v>
      </c>
      <c r="H53">
        <v>147.79</v>
      </c>
      <c r="I53">
        <v>147.44999999999999</v>
      </c>
      <c r="J53">
        <v>147.03</v>
      </c>
      <c r="K53">
        <v>146.58000000000001</v>
      </c>
      <c r="L53">
        <v>146.13</v>
      </c>
      <c r="N53">
        <f t="shared" si="0"/>
        <v>1.3599999999999852</v>
      </c>
      <c r="O53">
        <f t="shared" si="1"/>
        <v>9.7599999999999909</v>
      </c>
    </row>
    <row r="54" spans="1:15" x14ac:dyDescent="0.3">
      <c r="A54">
        <v>80</v>
      </c>
      <c r="B54">
        <v>137.13</v>
      </c>
      <c r="C54">
        <v>140.09</v>
      </c>
      <c r="D54">
        <v>142.31</v>
      </c>
      <c r="E54">
        <v>143.46</v>
      </c>
      <c r="F54">
        <v>142.97999999999999</v>
      </c>
      <c r="G54">
        <v>141.91</v>
      </c>
      <c r="H54">
        <v>140.74</v>
      </c>
      <c r="I54">
        <v>139.59</v>
      </c>
      <c r="J54">
        <v>138.47999999999999</v>
      </c>
      <c r="K54">
        <v>137.41</v>
      </c>
      <c r="L54">
        <v>136.37</v>
      </c>
      <c r="N54">
        <f t="shared" si="0"/>
        <v>1.5</v>
      </c>
      <c r="O54">
        <f t="shared" si="1"/>
        <v>10.490000000000009</v>
      </c>
    </row>
    <row r="55" spans="1:15" x14ac:dyDescent="0.3">
      <c r="A55">
        <v>85</v>
      </c>
      <c r="B55">
        <v>137.31</v>
      </c>
      <c r="C55">
        <v>138.59</v>
      </c>
      <c r="D55">
        <v>139.22</v>
      </c>
      <c r="E55">
        <v>139.22</v>
      </c>
      <c r="F55">
        <v>137.82</v>
      </c>
      <c r="G55">
        <v>135.75</v>
      </c>
      <c r="H55">
        <v>133.44999999999999</v>
      </c>
      <c r="I55">
        <v>131.29</v>
      </c>
      <c r="J55">
        <v>129.35</v>
      </c>
      <c r="K55">
        <v>127.57</v>
      </c>
      <c r="L55">
        <v>125.88</v>
      </c>
      <c r="N55">
        <f t="shared" si="0"/>
        <v>1.5</v>
      </c>
      <c r="O55">
        <f t="shared" si="1"/>
        <v>10.97999999999999</v>
      </c>
    </row>
    <row r="56" spans="1:15" x14ac:dyDescent="0.3">
      <c r="A56">
        <v>90</v>
      </c>
      <c r="B56">
        <v>137.38999999999999</v>
      </c>
      <c r="C56">
        <v>137.09</v>
      </c>
      <c r="D56">
        <v>136.19999999999999</v>
      </c>
      <c r="E56">
        <v>135.02000000000001</v>
      </c>
      <c r="F56">
        <v>132.66999999999999</v>
      </c>
      <c r="G56">
        <v>129.61000000000001</v>
      </c>
      <c r="H56">
        <v>126.29</v>
      </c>
      <c r="I56">
        <v>122.95</v>
      </c>
      <c r="J56">
        <v>119.96</v>
      </c>
      <c r="K56">
        <v>117.33</v>
      </c>
      <c r="L56">
        <v>114.9</v>
      </c>
      <c r="N56">
        <f t="shared" si="0"/>
        <v>1.6299999999999955</v>
      </c>
      <c r="O56">
        <f t="shared" si="1"/>
        <v>11.060000000000002</v>
      </c>
    </row>
    <row r="57" spans="1:15" x14ac:dyDescent="0.3">
      <c r="A57">
        <v>95</v>
      </c>
      <c r="B57">
        <v>137.31</v>
      </c>
      <c r="C57">
        <v>135.46</v>
      </c>
      <c r="D57">
        <v>133.16</v>
      </c>
      <c r="E57">
        <v>130.76</v>
      </c>
      <c r="F57">
        <v>127.58</v>
      </c>
      <c r="G57">
        <v>123.53</v>
      </c>
      <c r="H57">
        <v>119.28</v>
      </c>
      <c r="I57">
        <v>114.99</v>
      </c>
      <c r="J57">
        <v>110.88</v>
      </c>
      <c r="K57">
        <v>107.18</v>
      </c>
      <c r="L57">
        <v>103.84</v>
      </c>
      <c r="N57">
        <f t="shared" si="0"/>
        <v>1.7800000000000011</v>
      </c>
      <c r="O57">
        <f t="shared" si="1"/>
        <v>10.530000000000001</v>
      </c>
    </row>
    <row r="58" spans="1:15" x14ac:dyDescent="0.3">
      <c r="A58">
        <v>100</v>
      </c>
      <c r="B58">
        <v>137.13999999999999</v>
      </c>
      <c r="C58">
        <v>133.68</v>
      </c>
      <c r="D58">
        <v>130.03</v>
      </c>
      <c r="E58">
        <v>126.47</v>
      </c>
      <c r="F58">
        <v>122.56</v>
      </c>
      <c r="G58">
        <v>117.83</v>
      </c>
      <c r="H58">
        <v>112.77</v>
      </c>
      <c r="I58">
        <v>107.67</v>
      </c>
      <c r="J58">
        <v>102.61</v>
      </c>
      <c r="K58">
        <v>97.76</v>
      </c>
      <c r="L58">
        <v>93.31</v>
      </c>
      <c r="N58">
        <f t="shared" si="0"/>
        <v>1.8100000000000023</v>
      </c>
      <c r="O58">
        <f t="shared" si="1"/>
        <v>9.6299999999999955</v>
      </c>
    </row>
    <row r="59" spans="1:15" x14ac:dyDescent="0.3">
      <c r="A59">
        <v>105</v>
      </c>
      <c r="B59">
        <v>136.87</v>
      </c>
      <c r="C59">
        <v>131.87</v>
      </c>
      <c r="D59">
        <v>126.9</v>
      </c>
      <c r="E59">
        <v>122.25</v>
      </c>
      <c r="F59">
        <v>117.45</v>
      </c>
      <c r="G59">
        <v>112.11</v>
      </c>
      <c r="H59">
        <v>106.48</v>
      </c>
      <c r="I59">
        <v>100.71</v>
      </c>
      <c r="J59">
        <v>94.92</v>
      </c>
      <c r="K59">
        <v>89.18</v>
      </c>
      <c r="L59">
        <v>83.68</v>
      </c>
      <c r="N59">
        <f t="shared" si="0"/>
        <v>1.789999999999992</v>
      </c>
      <c r="O59">
        <f t="shared" si="1"/>
        <v>8.9700000000000131</v>
      </c>
    </row>
    <row r="60" spans="1:15" x14ac:dyDescent="0.3">
      <c r="A60">
        <v>110</v>
      </c>
      <c r="B60">
        <v>136.47</v>
      </c>
      <c r="C60">
        <v>130.08000000000001</v>
      </c>
      <c r="D60">
        <v>123.9</v>
      </c>
      <c r="E60">
        <v>118.31</v>
      </c>
      <c r="F60">
        <v>112.4</v>
      </c>
      <c r="G60">
        <v>106.36</v>
      </c>
      <c r="H60">
        <v>100.19</v>
      </c>
      <c r="I60">
        <v>93.9</v>
      </c>
      <c r="J60">
        <v>87.53</v>
      </c>
      <c r="K60">
        <v>81.09</v>
      </c>
      <c r="L60">
        <v>74.709999999999994</v>
      </c>
      <c r="N60">
        <f t="shared" si="0"/>
        <v>1.6700000000000159</v>
      </c>
      <c r="O60">
        <f t="shared" si="1"/>
        <v>8.75</v>
      </c>
    </row>
    <row r="61" spans="1:15" x14ac:dyDescent="0.3">
      <c r="A61">
        <v>115</v>
      </c>
      <c r="B61">
        <v>136.04</v>
      </c>
      <c r="C61">
        <v>128.41</v>
      </c>
      <c r="D61">
        <v>121.07</v>
      </c>
      <c r="E61">
        <v>114.44</v>
      </c>
      <c r="F61">
        <v>107.55</v>
      </c>
      <c r="G61">
        <v>100.44</v>
      </c>
      <c r="H61">
        <v>93.6</v>
      </c>
      <c r="I61">
        <v>86.78</v>
      </c>
      <c r="J61">
        <v>79.900000000000006</v>
      </c>
      <c r="K61">
        <v>72.959999999999994</v>
      </c>
      <c r="L61">
        <v>65.959999999999994</v>
      </c>
      <c r="N61">
        <f t="shared" si="0"/>
        <v>1.2999999999999972</v>
      </c>
      <c r="O61">
        <f t="shared" si="1"/>
        <v>8.7399999999999949</v>
      </c>
    </row>
    <row r="62" spans="1:15" x14ac:dyDescent="0.3">
      <c r="A62">
        <v>120</v>
      </c>
      <c r="B62">
        <v>135.86000000000001</v>
      </c>
      <c r="C62">
        <v>127.11</v>
      </c>
      <c r="D62">
        <v>118.58</v>
      </c>
      <c r="E62">
        <v>110.7</v>
      </c>
      <c r="F62">
        <v>103.02</v>
      </c>
      <c r="G62">
        <v>94.89</v>
      </c>
      <c r="H62">
        <v>87.03</v>
      </c>
      <c r="I62">
        <v>79.540000000000006</v>
      </c>
      <c r="J62">
        <v>72.14</v>
      </c>
      <c r="K62">
        <v>64.709999999999994</v>
      </c>
      <c r="L62">
        <v>57.22</v>
      </c>
      <c r="N62">
        <f t="shared" si="0"/>
        <v>0.93999999999999773</v>
      </c>
      <c r="O62">
        <f t="shared" si="1"/>
        <v>8.5799999999999983</v>
      </c>
    </row>
    <row r="63" spans="1:15" x14ac:dyDescent="0.3">
      <c r="A63">
        <v>125</v>
      </c>
      <c r="B63">
        <v>136.01</v>
      </c>
      <c r="C63">
        <v>126.17</v>
      </c>
      <c r="D63">
        <v>116.54</v>
      </c>
      <c r="E63">
        <v>107.37</v>
      </c>
      <c r="F63">
        <v>98.78</v>
      </c>
      <c r="G63">
        <v>90.05</v>
      </c>
      <c r="H63">
        <v>81.06</v>
      </c>
      <c r="I63">
        <v>72.58</v>
      </c>
      <c r="J63">
        <v>64.52</v>
      </c>
      <c r="K63">
        <v>56.58</v>
      </c>
      <c r="L63">
        <v>48.64</v>
      </c>
      <c r="N63">
        <f>C63-C64</f>
        <v>0.71000000000000796</v>
      </c>
      <c r="O63">
        <f t="shared" si="1"/>
        <v>8.2999999999999972</v>
      </c>
    </row>
    <row r="64" spans="1:15" x14ac:dyDescent="0.3">
      <c r="A64">
        <v>130</v>
      </c>
      <c r="B64">
        <v>136.43</v>
      </c>
      <c r="C64">
        <v>125.46</v>
      </c>
      <c r="D64">
        <v>114.75</v>
      </c>
      <c r="E64">
        <v>104.56</v>
      </c>
      <c r="F64">
        <v>94.88</v>
      </c>
      <c r="G64">
        <v>85.54</v>
      </c>
      <c r="H64">
        <v>75.95</v>
      </c>
      <c r="I64">
        <v>66.349999999999994</v>
      </c>
      <c r="J64">
        <v>57.35</v>
      </c>
      <c r="K64">
        <v>48.78</v>
      </c>
      <c r="L64">
        <v>40.340000000000003</v>
      </c>
      <c r="N64">
        <f t="shared" si="0"/>
        <v>0.64000000000000057</v>
      </c>
      <c r="O64">
        <f>L64-L65</f>
        <v>8.0200000000000031</v>
      </c>
    </row>
    <row r="65" spans="1:15" x14ac:dyDescent="0.3">
      <c r="A65">
        <v>135</v>
      </c>
      <c r="B65">
        <v>136.81</v>
      </c>
      <c r="C65">
        <v>124.82</v>
      </c>
      <c r="D65">
        <v>113.14</v>
      </c>
      <c r="E65">
        <v>102.09</v>
      </c>
      <c r="F65">
        <v>91.55</v>
      </c>
      <c r="G65">
        <v>81.400000000000006</v>
      </c>
      <c r="H65">
        <v>71.2</v>
      </c>
      <c r="I65">
        <v>60.93</v>
      </c>
      <c r="J65">
        <v>50.8</v>
      </c>
      <c r="K65">
        <v>41.35</v>
      </c>
      <c r="L65">
        <v>32.32</v>
      </c>
      <c r="N65">
        <f t="shared" si="0"/>
        <v>0.62999999999999545</v>
      </c>
      <c r="O65">
        <f t="shared" si="1"/>
        <v>8.25</v>
      </c>
    </row>
    <row r="66" spans="1:15" x14ac:dyDescent="0.3">
      <c r="A66">
        <v>140</v>
      </c>
      <c r="B66">
        <v>137.05000000000001</v>
      </c>
      <c r="C66">
        <v>124.19</v>
      </c>
      <c r="D66">
        <v>111.69</v>
      </c>
      <c r="E66">
        <v>99.82</v>
      </c>
      <c r="F66">
        <v>88.45</v>
      </c>
      <c r="G66">
        <v>77.36</v>
      </c>
      <c r="H66">
        <v>66.349999999999994</v>
      </c>
      <c r="I66">
        <v>55.38</v>
      </c>
      <c r="J66">
        <v>44.52</v>
      </c>
      <c r="K66">
        <v>33.93</v>
      </c>
      <c r="L66">
        <v>24.07</v>
      </c>
      <c r="N66">
        <f t="shared" si="0"/>
        <v>0.64000000000000057</v>
      </c>
      <c r="O66">
        <f t="shared" si="1"/>
        <v>9.24</v>
      </c>
    </row>
    <row r="67" spans="1:15" x14ac:dyDescent="0.3">
      <c r="A67">
        <v>145</v>
      </c>
      <c r="B67">
        <v>137.22</v>
      </c>
      <c r="C67">
        <v>123.55</v>
      </c>
      <c r="D67">
        <v>110.19</v>
      </c>
      <c r="E67">
        <v>97.34</v>
      </c>
      <c r="F67">
        <v>84.99</v>
      </c>
      <c r="G67">
        <v>72.89</v>
      </c>
      <c r="H67">
        <v>60.87</v>
      </c>
      <c r="I67">
        <v>49.01</v>
      </c>
      <c r="J67">
        <v>37.33</v>
      </c>
      <c r="K67">
        <v>25.88</v>
      </c>
      <c r="L67">
        <v>14.83</v>
      </c>
      <c r="N67">
        <f t="shared" ref="N67:N74" si="2">C67-C68</f>
        <v>0.82999999999999829</v>
      </c>
      <c r="O67">
        <f t="shared" ref="O67:O73" si="3">L67-L68</f>
        <v>9.92</v>
      </c>
    </row>
    <row r="68" spans="1:15" x14ac:dyDescent="0.3">
      <c r="A68">
        <v>150</v>
      </c>
      <c r="B68">
        <v>137.30000000000001</v>
      </c>
      <c r="C68">
        <v>122.72</v>
      </c>
      <c r="D68">
        <v>108.35</v>
      </c>
      <c r="E68">
        <v>94.36</v>
      </c>
      <c r="F68">
        <v>80.87</v>
      </c>
      <c r="G68">
        <v>67.7</v>
      </c>
      <c r="H68">
        <v>54.72</v>
      </c>
      <c r="I68">
        <v>41.9</v>
      </c>
      <c r="J68">
        <v>29.32</v>
      </c>
      <c r="K68">
        <v>16.98</v>
      </c>
      <c r="L68">
        <v>4.91</v>
      </c>
      <c r="N68">
        <f t="shared" si="2"/>
        <v>0.98999999999999488</v>
      </c>
      <c r="O68">
        <f t="shared" si="3"/>
        <v>9.42</v>
      </c>
    </row>
    <row r="69" spans="1:15" x14ac:dyDescent="0.3">
      <c r="A69">
        <v>155</v>
      </c>
      <c r="B69">
        <v>137.18</v>
      </c>
      <c r="C69">
        <v>121.73</v>
      </c>
      <c r="D69">
        <v>106.37</v>
      </c>
      <c r="E69">
        <v>91.33</v>
      </c>
      <c r="F69">
        <v>76.66</v>
      </c>
      <c r="G69">
        <v>62.4</v>
      </c>
      <c r="H69">
        <v>48.49</v>
      </c>
      <c r="I69">
        <v>34.86</v>
      </c>
      <c r="J69">
        <v>21.42</v>
      </c>
      <c r="K69">
        <v>8.27</v>
      </c>
      <c r="L69">
        <v>-4.51</v>
      </c>
      <c r="N69">
        <f t="shared" si="2"/>
        <v>1.0900000000000034</v>
      </c>
      <c r="O69">
        <f t="shared" si="3"/>
        <v>8.42</v>
      </c>
    </row>
    <row r="70" spans="1:15" x14ac:dyDescent="0.3">
      <c r="A70">
        <v>160</v>
      </c>
      <c r="B70">
        <v>136.99</v>
      </c>
      <c r="C70">
        <v>120.64</v>
      </c>
      <c r="D70">
        <v>104.37</v>
      </c>
      <c r="E70">
        <v>88.44</v>
      </c>
      <c r="F70">
        <v>72.92</v>
      </c>
      <c r="G70">
        <v>57.69</v>
      </c>
      <c r="H70">
        <v>42.84</v>
      </c>
      <c r="I70">
        <v>28.39</v>
      </c>
      <c r="J70">
        <v>14.28</v>
      </c>
      <c r="K70">
        <v>0.49</v>
      </c>
      <c r="L70">
        <v>-12.93</v>
      </c>
      <c r="N70">
        <f t="shared" si="2"/>
        <v>0.90000000000000568</v>
      </c>
      <c r="O70">
        <f t="shared" si="3"/>
        <v>6.68</v>
      </c>
    </row>
    <row r="71" spans="1:15" x14ac:dyDescent="0.3">
      <c r="A71">
        <v>165</v>
      </c>
      <c r="B71">
        <v>136.71</v>
      </c>
      <c r="C71">
        <v>119.74</v>
      </c>
      <c r="D71">
        <v>102.79</v>
      </c>
      <c r="E71">
        <v>86.16</v>
      </c>
      <c r="F71">
        <v>70.040000000000006</v>
      </c>
      <c r="G71">
        <v>54.25</v>
      </c>
      <c r="H71">
        <v>38.74</v>
      </c>
      <c r="I71">
        <v>23.55</v>
      </c>
      <c r="J71">
        <v>8.8000000000000007</v>
      </c>
      <c r="K71">
        <v>-5.59</v>
      </c>
      <c r="L71">
        <v>-19.61</v>
      </c>
      <c r="N71">
        <f t="shared" si="2"/>
        <v>0.75</v>
      </c>
      <c r="O71">
        <f t="shared" si="3"/>
        <v>4.379999999999999</v>
      </c>
    </row>
    <row r="72" spans="1:15" x14ac:dyDescent="0.3">
      <c r="A72">
        <v>170</v>
      </c>
      <c r="B72">
        <v>136.31</v>
      </c>
      <c r="C72">
        <v>118.99</v>
      </c>
      <c r="D72">
        <v>101.72</v>
      </c>
      <c r="E72">
        <v>84.76</v>
      </c>
      <c r="F72">
        <v>68.28</v>
      </c>
      <c r="G72">
        <v>52.13</v>
      </c>
      <c r="H72">
        <v>36.340000000000003</v>
      </c>
      <c r="I72">
        <v>20.87</v>
      </c>
      <c r="J72">
        <v>5.64</v>
      </c>
      <c r="K72">
        <v>-9.32</v>
      </c>
      <c r="L72">
        <v>-23.99</v>
      </c>
      <c r="N72">
        <f t="shared" si="2"/>
        <v>0.53000000000000114</v>
      </c>
      <c r="O72">
        <f t="shared" si="3"/>
        <v>2.2300000000000004</v>
      </c>
    </row>
    <row r="73" spans="1:15" x14ac:dyDescent="0.3">
      <c r="A73">
        <v>175</v>
      </c>
      <c r="B73">
        <v>135.88999999999999</v>
      </c>
      <c r="C73">
        <v>118.46</v>
      </c>
      <c r="D73">
        <v>101.09</v>
      </c>
      <c r="E73">
        <v>83.99</v>
      </c>
      <c r="F73">
        <v>67.38</v>
      </c>
      <c r="G73">
        <v>51.21</v>
      </c>
      <c r="H73">
        <v>35.340000000000003</v>
      </c>
      <c r="I73">
        <v>19.670000000000002</v>
      </c>
      <c r="J73">
        <v>4.18</v>
      </c>
      <c r="K73">
        <v>-11.15</v>
      </c>
      <c r="L73">
        <v>-26.22</v>
      </c>
      <c r="N73">
        <f t="shared" si="2"/>
        <v>0.20999999999999375</v>
      </c>
      <c r="O73">
        <f t="shared" si="3"/>
        <v>0.70000000000000284</v>
      </c>
    </row>
    <row r="74" spans="1:15" x14ac:dyDescent="0.3">
      <c r="A74">
        <v>180</v>
      </c>
      <c r="B74">
        <v>135.72</v>
      </c>
      <c r="C74">
        <v>118.25</v>
      </c>
      <c r="D74">
        <v>100.84</v>
      </c>
      <c r="E74">
        <v>83.66</v>
      </c>
      <c r="F74">
        <v>67.14</v>
      </c>
      <c r="G74">
        <v>50.99</v>
      </c>
      <c r="H74">
        <v>35.049999999999997</v>
      </c>
      <c r="I74">
        <v>19.29</v>
      </c>
      <c r="J74">
        <v>3.71</v>
      </c>
      <c r="K74">
        <v>-11.71</v>
      </c>
      <c r="L74">
        <v>-26.92</v>
      </c>
      <c r="N74">
        <f t="shared" si="2"/>
        <v>118.25</v>
      </c>
    </row>
    <row r="75" spans="1:15" x14ac:dyDescent="0.3">
      <c r="B75">
        <f>MAX(B2:B74)</f>
        <v>137.38999999999999</v>
      </c>
    </row>
    <row r="76" spans="1:15" x14ac:dyDescent="0.3">
      <c r="B76">
        <f>MIN(B2:B74)</f>
        <v>135.72</v>
      </c>
    </row>
    <row r="77" spans="1:15" x14ac:dyDescent="0.3">
      <c r="B77">
        <f>B75-B76</f>
        <v>1.6699999999999875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Rotate_FEMM_Lambda_d_matrix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sjo</cp:lastModifiedBy>
  <dcterms:created xsi:type="dcterms:W3CDTF">2026-10-22T23:23:35Z</dcterms:created>
  <dcterms:modified xsi:type="dcterms:W3CDTF">2026-10-22T23:39:27Z</dcterms:modified>
</cp:coreProperties>
</file>