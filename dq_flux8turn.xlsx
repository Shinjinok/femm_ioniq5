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1.업무폴더\2026년도업무\5.전략연구사업\IONIQ5_FEMM\"/>
    </mc:Choice>
  </mc:AlternateContent>
  <bookViews>
    <workbookView xWindow="0" yWindow="0" windowWidth="28800" windowHeight="12975"/>
  </bookViews>
  <sheets>
    <sheet name="Lambda_d_matrix" sheetId="1" r:id="rId1"/>
  </sheets>
  <calcPr calcId="152511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" i="1"/>
  <c r="Y43" i="1"/>
  <c r="O44" i="1"/>
  <c r="P44" i="1"/>
  <c r="Q44" i="1"/>
  <c r="R44" i="1"/>
  <c r="S44" i="1"/>
  <c r="T44" i="1"/>
  <c r="U44" i="1"/>
  <c r="V44" i="1"/>
  <c r="W44" i="1"/>
  <c r="X44" i="1"/>
  <c r="Y44" i="1"/>
  <c r="O45" i="1"/>
  <c r="P45" i="1"/>
  <c r="Q45" i="1"/>
  <c r="R45" i="1"/>
  <c r="S45" i="1"/>
  <c r="T45" i="1"/>
  <c r="U45" i="1"/>
  <c r="V45" i="1"/>
  <c r="W45" i="1"/>
  <c r="X45" i="1"/>
  <c r="Y45" i="1"/>
  <c r="O46" i="1"/>
  <c r="P46" i="1"/>
  <c r="Q46" i="1"/>
  <c r="R46" i="1"/>
  <c r="S46" i="1"/>
  <c r="T46" i="1"/>
  <c r="U46" i="1"/>
  <c r="V46" i="1"/>
  <c r="W46" i="1"/>
  <c r="X46" i="1"/>
  <c r="Y46" i="1"/>
  <c r="O47" i="1"/>
  <c r="P47" i="1"/>
  <c r="Q47" i="1"/>
  <c r="R47" i="1"/>
  <c r="S47" i="1"/>
  <c r="T47" i="1"/>
  <c r="U47" i="1"/>
  <c r="V47" i="1"/>
  <c r="W47" i="1"/>
  <c r="X47" i="1"/>
  <c r="Y47" i="1"/>
  <c r="O48" i="1"/>
  <c r="P48" i="1"/>
  <c r="Q48" i="1"/>
  <c r="R48" i="1"/>
  <c r="S48" i="1"/>
  <c r="T48" i="1"/>
  <c r="U48" i="1"/>
  <c r="V48" i="1"/>
  <c r="W48" i="1"/>
  <c r="X48" i="1"/>
  <c r="Y48" i="1"/>
  <c r="O49" i="1"/>
  <c r="P49" i="1"/>
  <c r="Q49" i="1"/>
  <c r="R49" i="1"/>
  <c r="S49" i="1"/>
  <c r="T49" i="1"/>
  <c r="U49" i="1"/>
  <c r="V49" i="1"/>
  <c r="W49" i="1"/>
  <c r="X49" i="1"/>
  <c r="Y49" i="1"/>
  <c r="O50" i="1"/>
  <c r="P50" i="1"/>
  <c r="Q50" i="1"/>
  <c r="R50" i="1"/>
  <c r="S50" i="1"/>
  <c r="T50" i="1"/>
  <c r="U50" i="1"/>
  <c r="V50" i="1"/>
  <c r="W50" i="1"/>
  <c r="X50" i="1"/>
  <c r="Y50" i="1"/>
  <c r="O51" i="1"/>
  <c r="P51" i="1"/>
  <c r="Q51" i="1"/>
  <c r="R51" i="1"/>
  <c r="S51" i="1"/>
  <c r="T51" i="1"/>
  <c r="U51" i="1"/>
  <c r="V51" i="1"/>
  <c r="W51" i="1"/>
  <c r="X51" i="1"/>
  <c r="Y51" i="1"/>
  <c r="O52" i="1"/>
  <c r="P52" i="1"/>
  <c r="Q52" i="1"/>
  <c r="R52" i="1"/>
  <c r="S52" i="1"/>
  <c r="T52" i="1"/>
  <c r="U52" i="1"/>
  <c r="V52" i="1"/>
  <c r="W52" i="1"/>
  <c r="X52" i="1"/>
  <c r="Y52" i="1"/>
  <c r="O53" i="1"/>
  <c r="P53" i="1"/>
  <c r="Q53" i="1"/>
  <c r="R53" i="1"/>
  <c r="S53" i="1"/>
  <c r="T53" i="1"/>
  <c r="U53" i="1"/>
  <c r="V53" i="1"/>
  <c r="W53" i="1"/>
  <c r="X53" i="1"/>
  <c r="Y53" i="1"/>
  <c r="O54" i="1"/>
  <c r="P54" i="1"/>
  <c r="Q54" i="1"/>
  <c r="R54" i="1"/>
  <c r="S54" i="1"/>
  <c r="T54" i="1"/>
  <c r="U54" i="1"/>
  <c r="V54" i="1"/>
  <c r="W54" i="1"/>
  <c r="X54" i="1"/>
  <c r="Y54" i="1"/>
  <c r="O55" i="1"/>
  <c r="P55" i="1"/>
  <c r="Q55" i="1"/>
  <c r="R55" i="1"/>
  <c r="S55" i="1"/>
  <c r="T55" i="1"/>
  <c r="U55" i="1"/>
  <c r="V55" i="1"/>
  <c r="W55" i="1"/>
  <c r="X55" i="1"/>
  <c r="Y55" i="1"/>
  <c r="O56" i="1"/>
  <c r="P56" i="1"/>
  <c r="Q56" i="1"/>
  <c r="R56" i="1"/>
  <c r="S56" i="1"/>
  <c r="T56" i="1"/>
  <c r="U56" i="1"/>
  <c r="V56" i="1"/>
  <c r="W56" i="1"/>
  <c r="X56" i="1"/>
  <c r="Y56" i="1"/>
  <c r="O57" i="1"/>
  <c r="P57" i="1"/>
  <c r="Q57" i="1"/>
  <c r="R57" i="1"/>
  <c r="S57" i="1"/>
  <c r="T57" i="1"/>
  <c r="U57" i="1"/>
  <c r="V57" i="1"/>
  <c r="W57" i="1"/>
  <c r="X57" i="1"/>
  <c r="Y57" i="1"/>
  <c r="O58" i="1"/>
  <c r="P58" i="1"/>
  <c r="Q58" i="1"/>
  <c r="R58" i="1"/>
  <c r="S58" i="1"/>
  <c r="T58" i="1"/>
  <c r="U58" i="1"/>
  <c r="V58" i="1"/>
  <c r="W58" i="1"/>
  <c r="X58" i="1"/>
  <c r="Y58" i="1"/>
  <c r="O59" i="1"/>
  <c r="P59" i="1"/>
  <c r="Q59" i="1"/>
  <c r="R59" i="1"/>
  <c r="S59" i="1"/>
  <c r="T59" i="1"/>
  <c r="U59" i="1"/>
  <c r="V59" i="1"/>
  <c r="W59" i="1"/>
  <c r="X59" i="1"/>
  <c r="Y59" i="1"/>
  <c r="O60" i="1"/>
  <c r="P60" i="1"/>
  <c r="Q60" i="1"/>
  <c r="R60" i="1"/>
  <c r="S60" i="1"/>
  <c r="T60" i="1"/>
  <c r="U60" i="1"/>
  <c r="V60" i="1"/>
  <c r="W60" i="1"/>
  <c r="X60" i="1"/>
  <c r="Y60" i="1"/>
  <c r="O61" i="1"/>
  <c r="P61" i="1"/>
  <c r="Q61" i="1"/>
  <c r="R61" i="1"/>
  <c r="S61" i="1"/>
  <c r="T61" i="1"/>
  <c r="U61" i="1"/>
  <c r="V61" i="1"/>
  <c r="W61" i="1"/>
  <c r="X61" i="1"/>
  <c r="Y61" i="1"/>
  <c r="P43" i="1"/>
  <c r="Q43" i="1"/>
  <c r="R43" i="1"/>
  <c r="S43" i="1"/>
  <c r="T43" i="1"/>
  <c r="U43" i="1"/>
  <c r="V43" i="1"/>
  <c r="W43" i="1"/>
  <c r="X43" i="1"/>
  <c r="O43" i="1"/>
  <c r="B44" i="1"/>
  <c r="C44" i="1"/>
  <c r="D44" i="1"/>
  <c r="E44" i="1"/>
  <c r="F44" i="1"/>
  <c r="G44" i="1"/>
  <c r="H44" i="1"/>
  <c r="I44" i="1"/>
  <c r="J44" i="1"/>
  <c r="K44" i="1"/>
  <c r="L44" i="1"/>
  <c r="B45" i="1"/>
  <c r="C45" i="1"/>
  <c r="D45" i="1"/>
  <c r="E45" i="1"/>
  <c r="F45" i="1"/>
  <c r="G45" i="1"/>
  <c r="H45" i="1"/>
  <c r="I45" i="1"/>
  <c r="J45" i="1"/>
  <c r="K45" i="1"/>
  <c r="L45" i="1"/>
  <c r="B46" i="1"/>
  <c r="C46" i="1"/>
  <c r="D46" i="1"/>
  <c r="E46" i="1"/>
  <c r="F46" i="1"/>
  <c r="G46" i="1"/>
  <c r="H46" i="1"/>
  <c r="I46" i="1"/>
  <c r="J46" i="1"/>
  <c r="K46" i="1"/>
  <c r="L46" i="1"/>
  <c r="B47" i="1"/>
  <c r="C47" i="1"/>
  <c r="D47" i="1"/>
  <c r="E47" i="1"/>
  <c r="F47" i="1"/>
  <c r="G47" i="1"/>
  <c r="H47" i="1"/>
  <c r="I47" i="1"/>
  <c r="J47" i="1"/>
  <c r="K47" i="1"/>
  <c r="L47" i="1"/>
  <c r="B48" i="1"/>
  <c r="C48" i="1"/>
  <c r="D48" i="1"/>
  <c r="E48" i="1"/>
  <c r="F48" i="1"/>
  <c r="G48" i="1"/>
  <c r="H48" i="1"/>
  <c r="I48" i="1"/>
  <c r="J48" i="1"/>
  <c r="K48" i="1"/>
  <c r="L48" i="1"/>
  <c r="B49" i="1"/>
  <c r="C49" i="1"/>
  <c r="D49" i="1"/>
  <c r="E49" i="1"/>
  <c r="F49" i="1"/>
  <c r="G49" i="1"/>
  <c r="H49" i="1"/>
  <c r="I49" i="1"/>
  <c r="J49" i="1"/>
  <c r="K49" i="1"/>
  <c r="L49" i="1"/>
  <c r="B50" i="1"/>
  <c r="C50" i="1"/>
  <c r="D50" i="1"/>
  <c r="E50" i="1"/>
  <c r="F50" i="1"/>
  <c r="G50" i="1"/>
  <c r="H50" i="1"/>
  <c r="I50" i="1"/>
  <c r="J50" i="1"/>
  <c r="K50" i="1"/>
  <c r="L50" i="1"/>
  <c r="B51" i="1"/>
  <c r="C51" i="1"/>
  <c r="D51" i="1"/>
  <c r="E51" i="1"/>
  <c r="F51" i="1"/>
  <c r="G51" i="1"/>
  <c r="H51" i="1"/>
  <c r="I51" i="1"/>
  <c r="J51" i="1"/>
  <c r="K51" i="1"/>
  <c r="L51" i="1"/>
  <c r="B52" i="1"/>
  <c r="C52" i="1"/>
  <c r="D52" i="1"/>
  <c r="E52" i="1"/>
  <c r="F52" i="1"/>
  <c r="G52" i="1"/>
  <c r="H52" i="1"/>
  <c r="I52" i="1"/>
  <c r="J52" i="1"/>
  <c r="K52" i="1"/>
  <c r="L52" i="1"/>
  <c r="B53" i="1"/>
  <c r="C53" i="1"/>
  <c r="D53" i="1"/>
  <c r="E53" i="1"/>
  <c r="F53" i="1"/>
  <c r="G53" i="1"/>
  <c r="H53" i="1"/>
  <c r="I53" i="1"/>
  <c r="J53" i="1"/>
  <c r="K53" i="1"/>
  <c r="L53" i="1"/>
  <c r="B54" i="1"/>
  <c r="C54" i="1"/>
  <c r="D54" i="1"/>
  <c r="E54" i="1"/>
  <c r="F54" i="1"/>
  <c r="G54" i="1"/>
  <c r="H54" i="1"/>
  <c r="I54" i="1"/>
  <c r="J54" i="1"/>
  <c r="K54" i="1"/>
  <c r="L54" i="1"/>
  <c r="B55" i="1"/>
  <c r="C55" i="1"/>
  <c r="D55" i="1"/>
  <c r="E55" i="1"/>
  <c r="F55" i="1"/>
  <c r="G55" i="1"/>
  <c r="H55" i="1"/>
  <c r="I55" i="1"/>
  <c r="J55" i="1"/>
  <c r="K55" i="1"/>
  <c r="L55" i="1"/>
  <c r="B56" i="1"/>
  <c r="C56" i="1"/>
  <c r="D56" i="1"/>
  <c r="E56" i="1"/>
  <c r="F56" i="1"/>
  <c r="G56" i="1"/>
  <c r="H56" i="1"/>
  <c r="I56" i="1"/>
  <c r="J56" i="1"/>
  <c r="K56" i="1"/>
  <c r="L56" i="1"/>
  <c r="B57" i="1"/>
  <c r="C57" i="1"/>
  <c r="D57" i="1"/>
  <c r="E57" i="1"/>
  <c r="F57" i="1"/>
  <c r="G57" i="1"/>
  <c r="H57" i="1"/>
  <c r="I57" i="1"/>
  <c r="J57" i="1"/>
  <c r="K57" i="1"/>
  <c r="L57" i="1"/>
  <c r="B58" i="1"/>
  <c r="C58" i="1"/>
  <c r="D58" i="1"/>
  <c r="E58" i="1"/>
  <c r="F58" i="1"/>
  <c r="G58" i="1"/>
  <c r="H58" i="1"/>
  <c r="I58" i="1"/>
  <c r="J58" i="1"/>
  <c r="K58" i="1"/>
  <c r="L58" i="1"/>
  <c r="B59" i="1"/>
  <c r="C59" i="1"/>
  <c r="D59" i="1"/>
  <c r="E59" i="1"/>
  <c r="F59" i="1"/>
  <c r="G59" i="1"/>
  <c r="H59" i="1"/>
  <c r="I59" i="1"/>
  <c r="J59" i="1"/>
  <c r="K59" i="1"/>
  <c r="L59" i="1"/>
  <c r="B60" i="1"/>
  <c r="C60" i="1"/>
  <c r="D60" i="1"/>
  <c r="E60" i="1"/>
  <c r="F60" i="1"/>
  <c r="G60" i="1"/>
  <c r="H60" i="1"/>
  <c r="I60" i="1"/>
  <c r="J60" i="1"/>
  <c r="K60" i="1"/>
  <c r="L60" i="1"/>
  <c r="B61" i="1"/>
  <c r="C61" i="1"/>
  <c r="D61" i="1"/>
  <c r="E61" i="1"/>
  <c r="F61" i="1"/>
  <c r="G61" i="1"/>
  <c r="H61" i="1"/>
  <c r="I61" i="1"/>
  <c r="J61" i="1"/>
  <c r="K61" i="1"/>
  <c r="L61" i="1"/>
  <c r="C43" i="1"/>
  <c r="D43" i="1"/>
  <c r="E43" i="1"/>
  <c r="F43" i="1"/>
  <c r="G43" i="1"/>
  <c r="H43" i="1"/>
  <c r="I43" i="1"/>
  <c r="J43" i="1"/>
  <c r="K43" i="1"/>
  <c r="L43" i="1"/>
  <c r="B43" i="1"/>
</calcChain>
</file>

<file path=xl/sharedStrings.xml><?xml version="1.0" encoding="utf-8"?>
<sst xmlns="http://schemas.openxmlformats.org/spreadsheetml/2006/main" count="4" uniqueCount="4">
  <si>
    <t>Q(turn)</t>
    <phoneticPr fontId="18" type="noConversion"/>
  </si>
  <si>
    <t>d(blog)</t>
    <phoneticPr fontId="18" type="noConversion"/>
  </si>
  <si>
    <t>q(blog)</t>
    <phoneticPr fontId="18" type="noConversion"/>
  </si>
  <si>
    <t>D(8turn)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</si>
</sst>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Lambda_d_matrix!$A$1</c:f>
              <c:strCache>
                <c:ptCount val="1"/>
                <c:pt idx="0">
                  <c:v>D(8turn)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Lambda_d_matrix!$A$23:$A$41</c:f>
              <c:numCache>
                <c:formatCode>General</c:formatCode>
                <c:ptCount val="19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  <c:pt idx="3">
                  <c:v>105</c:v>
                </c:pt>
                <c:pt idx="4">
                  <c:v>110</c:v>
                </c:pt>
                <c:pt idx="5">
                  <c:v>115</c:v>
                </c:pt>
                <c:pt idx="6">
                  <c:v>120</c:v>
                </c:pt>
                <c:pt idx="7">
                  <c:v>125</c:v>
                </c:pt>
                <c:pt idx="8">
                  <c:v>130</c:v>
                </c:pt>
                <c:pt idx="9">
                  <c:v>135</c:v>
                </c:pt>
                <c:pt idx="10">
                  <c:v>140</c:v>
                </c:pt>
                <c:pt idx="11">
                  <c:v>145</c:v>
                </c:pt>
                <c:pt idx="12">
                  <c:v>150</c:v>
                </c:pt>
                <c:pt idx="13">
                  <c:v>155</c:v>
                </c:pt>
                <c:pt idx="14">
                  <c:v>160</c:v>
                </c:pt>
                <c:pt idx="15">
                  <c:v>165</c:v>
                </c:pt>
                <c:pt idx="16">
                  <c:v>170</c:v>
                </c:pt>
                <c:pt idx="17">
                  <c:v>175</c:v>
                </c:pt>
                <c:pt idx="18">
                  <c:v>180</c:v>
                </c:pt>
              </c:numCache>
            </c:numRef>
          </c:cat>
          <c:val>
            <c:numRef>
              <c:f>Lambda_d_matrix!$L$2:$L$20</c:f>
              <c:numCache>
                <c:formatCode>General</c:formatCode>
                <c:ptCount val="19"/>
                <c:pt idx="0">
                  <c:v>119.24</c:v>
                </c:pt>
                <c:pt idx="1">
                  <c:v>109.31</c:v>
                </c:pt>
                <c:pt idx="2">
                  <c:v>98.87</c:v>
                </c:pt>
                <c:pt idx="3">
                  <c:v>88.01</c:v>
                </c:pt>
                <c:pt idx="4">
                  <c:v>77.209999999999994</c:v>
                </c:pt>
                <c:pt idx="5">
                  <c:v>66.66</c:v>
                </c:pt>
                <c:pt idx="6">
                  <c:v>56.42</c:v>
                </c:pt>
                <c:pt idx="7">
                  <c:v>46.5</c:v>
                </c:pt>
                <c:pt idx="8">
                  <c:v>36.93</c:v>
                </c:pt>
                <c:pt idx="9">
                  <c:v>27.67</c:v>
                </c:pt>
                <c:pt idx="10">
                  <c:v>18.73</c:v>
                </c:pt>
                <c:pt idx="11">
                  <c:v>9.6199999999999992</c:v>
                </c:pt>
                <c:pt idx="12">
                  <c:v>0.35</c:v>
                </c:pt>
                <c:pt idx="13">
                  <c:v>-7.87</c:v>
                </c:pt>
                <c:pt idx="14">
                  <c:v>-14.89</c:v>
                </c:pt>
                <c:pt idx="15">
                  <c:v>-20.57</c:v>
                </c:pt>
                <c:pt idx="16">
                  <c:v>-24.5</c:v>
                </c:pt>
                <c:pt idx="17">
                  <c:v>-26.85</c:v>
                </c:pt>
                <c:pt idx="18">
                  <c:v>-27.64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Lambda_d_matrix!$A$22</c:f>
              <c:strCache>
                <c:ptCount val="1"/>
                <c:pt idx="0">
                  <c:v>d(blog)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Lambda_d_matrix!$L$23:$L$41</c:f>
              <c:numCache>
                <c:formatCode>General</c:formatCode>
                <c:ptCount val="19"/>
                <c:pt idx="0">
                  <c:v>122.91</c:v>
                </c:pt>
                <c:pt idx="1">
                  <c:v>113.96</c:v>
                </c:pt>
                <c:pt idx="2">
                  <c:v>105.1</c:v>
                </c:pt>
                <c:pt idx="3">
                  <c:v>95.79</c:v>
                </c:pt>
                <c:pt idx="4">
                  <c:v>86.04</c:v>
                </c:pt>
                <c:pt idx="5">
                  <c:v>76.37</c:v>
                </c:pt>
                <c:pt idx="6">
                  <c:v>66.78</c:v>
                </c:pt>
                <c:pt idx="7">
                  <c:v>57.8</c:v>
                </c:pt>
                <c:pt idx="8">
                  <c:v>47.53</c:v>
                </c:pt>
                <c:pt idx="9">
                  <c:v>37.119999999999997</c:v>
                </c:pt>
                <c:pt idx="10">
                  <c:v>27.75</c:v>
                </c:pt>
                <c:pt idx="11">
                  <c:v>18.66</c:v>
                </c:pt>
                <c:pt idx="12">
                  <c:v>9.19</c:v>
                </c:pt>
                <c:pt idx="13">
                  <c:v>0.51</c:v>
                </c:pt>
                <c:pt idx="14">
                  <c:v>-7.37</c:v>
                </c:pt>
                <c:pt idx="15">
                  <c:v>-14.14</c:v>
                </c:pt>
                <c:pt idx="16">
                  <c:v>-19.260000000000002</c:v>
                </c:pt>
                <c:pt idx="17">
                  <c:v>-22.67</c:v>
                </c:pt>
                <c:pt idx="18">
                  <c:v>-23.99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53118400"/>
        <c:axId val="-753119488"/>
      </c:lineChart>
      <c:catAx>
        <c:axId val="-75311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753119488"/>
        <c:crosses val="autoZero"/>
        <c:auto val="1"/>
        <c:lblAlgn val="ctr"/>
        <c:lblOffset val="100"/>
        <c:noMultiLvlLbl val="0"/>
      </c:catAx>
      <c:valAx>
        <c:axId val="-75311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75311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Lambda_d_matrix!$N$23:$N$41</c:f>
              <c:numCache>
                <c:formatCode>General</c:formatCode>
                <c:ptCount val="19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  <c:pt idx="3">
                  <c:v>105</c:v>
                </c:pt>
                <c:pt idx="4">
                  <c:v>110</c:v>
                </c:pt>
                <c:pt idx="5">
                  <c:v>115</c:v>
                </c:pt>
                <c:pt idx="6">
                  <c:v>120</c:v>
                </c:pt>
                <c:pt idx="7">
                  <c:v>125</c:v>
                </c:pt>
                <c:pt idx="8">
                  <c:v>130</c:v>
                </c:pt>
                <c:pt idx="9">
                  <c:v>135</c:v>
                </c:pt>
                <c:pt idx="10">
                  <c:v>140</c:v>
                </c:pt>
                <c:pt idx="11">
                  <c:v>145</c:v>
                </c:pt>
                <c:pt idx="12">
                  <c:v>150</c:v>
                </c:pt>
                <c:pt idx="13">
                  <c:v>155</c:v>
                </c:pt>
                <c:pt idx="14">
                  <c:v>160</c:v>
                </c:pt>
                <c:pt idx="15">
                  <c:v>165</c:v>
                </c:pt>
                <c:pt idx="16">
                  <c:v>170</c:v>
                </c:pt>
                <c:pt idx="17">
                  <c:v>175</c:v>
                </c:pt>
                <c:pt idx="18">
                  <c:v>180</c:v>
                </c:pt>
              </c:numCache>
            </c:numRef>
          </c:cat>
          <c:val>
            <c:numRef>
              <c:f>Lambda_d_matrix!$Z$2:$Z$20</c:f>
              <c:numCache>
                <c:formatCode>General</c:formatCode>
                <c:ptCount val="19"/>
                <c:pt idx="0">
                  <c:v>329.36500000000001</c:v>
                </c:pt>
                <c:pt idx="1">
                  <c:v>330.71499999999997</c:v>
                </c:pt>
                <c:pt idx="2">
                  <c:v>330.51</c:v>
                </c:pt>
                <c:pt idx="3">
                  <c:v>328.62</c:v>
                </c:pt>
                <c:pt idx="4">
                  <c:v>325.06</c:v>
                </c:pt>
                <c:pt idx="5">
                  <c:v>320.03500000000003</c:v>
                </c:pt>
                <c:pt idx="6">
                  <c:v>313.625</c:v>
                </c:pt>
                <c:pt idx="7">
                  <c:v>305.74</c:v>
                </c:pt>
                <c:pt idx="8">
                  <c:v>296.19</c:v>
                </c:pt>
                <c:pt idx="9">
                  <c:v>284.52499999999998</c:v>
                </c:pt>
                <c:pt idx="10">
                  <c:v>270.66000000000003</c:v>
                </c:pt>
                <c:pt idx="11">
                  <c:v>255.2</c:v>
                </c:pt>
                <c:pt idx="12">
                  <c:v>236.45500000000001</c:v>
                </c:pt>
                <c:pt idx="13">
                  <c:v>211.80500000000001</c:v>
                </c:pt>
                <c:pt idx="14">
                  <c:v>182.815</c:v>
                </c:pt>
                <c:pt idx="15">
                  <c:v>148.565</c:v>
                </c:pt>
                <c:pt idx="16">
                  <c:v>106.45</c:v>
                </c:pt>
                <c:pt idx="17">
                  <c:v>54.185000000000002</c:v>
                </c:pt>
                <c:pt idx="18">
                  <c:v>5.5E-2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Lambda_d_matrix!$Y$23:$Y$41</c:f>
              <c:numCache>
                <c:formatCode>General</c:formatCode>
                <c:ptCount val="19"/>
                <c:pt idx="0">
                  <c:v>263.44</c:v>
                </c:pt>
                <c:pt idx="1">
                  <c:v>261.91000000000003</c:v>
                </c:pt>
                <c:pt idx="2">
                  <c:v>260.39</c:v>
                </c:pt>
                <c:pt idx="3">
                  <c:v>258.88</c:v>
                </c:pt>
                <c:pt idx="4">
                  <c:v>255.29</c:v>
                </c:pt>
                <c:pt idx="5">
                  <c:v>250.66</c:v>
                </c:pt>
                <c:pt idx="6">
                  <c:v>246.07</c:v>
                </c:pt>
                <c:pt idx="7">
                  <c:v>239.41</c:v>
                </c:pt>
                <c:pt idx="8">
                  <c:v>232.33</c:v>
                </c:pt>
                <c:pt idx="9">
                  <c:v>220.15</c:v>
                </c:pt>
                <c:pt idx="10">
                  <c:v>209.66</c:v>
                </c:pt>
                <c:pt idx="11">
                  <c:v>196.58</c:v>
                </c:pt>
                <c:pt idx="12">
                  <c:v>180.04</c:v>
                </c:pt>
                <c:pt idx="13">
                  <c:v>159.79</c:v>
                </c:pt>
                <c:pt idx="14">
                  <c:v>135.16</c:v>
                </c:pt>
                <c:pt idx="15">
                  <c:v>106.69</c:v>
                </c:pt>
                <c:pt idx="16">
                  <c:v>74.83</c:v>
                </c:pt>
                <c:pt idx="17">
                  <c:v>41.68</c:v>
                </c:pt>
                <c:pt idx="18">
                  <c:v>6.51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53128192"/>
        <c:axId val="-753124928"/>
      </c:lineChart>
      <c:catAx>
        <c:axId val="-75312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753124928"/>
        <c:crosses val="autoZero"/>
        <c:auto val="1"/>
        <c:lblAlgn val="ctr"/>
        <c:lblOffset val="100"/>
        <c:noMultiLvlLbl val="0"/>
      </c:catAx>
      <c:valAx>
        <c:axId val="-75312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75312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526675</xdr:colOff>
      <xdr:row>26</xdr:row>
      <xdr:rowOff>202825</xdr:rowOff>
    </xdr:from>
    <xdr:to>
      <xdr:col>9</xdr:col>
      <xdr:colOff>313764</xdr:colOff>
      <xdr:row>39</xdr:row>
      <xdr:rowOff>178172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414618</xdr:colOff>
      <xdr:row>26</xdr:row>
      <xdr:rowOff>135590</xdr:rowOff>
    </xdr:from>
    <xdr:to>
      <xdr:col>23</xdr:col>
      <xdr:colOff>201706</xdr:colOff>
      <xdr:row>39</xdr:row>
      <xdr:rowOff>110937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1"/>
  <sheetViews>
    <sheetView tabSelected="1" zoomScale="85" zoomScaleNormal="85" workbookViewId="0">
      <selection activeCell="B2" sqref="B2:L20"/>
    </sheetView>
  </sheetViews>
  <sheetFormatPr defaultRowHeight="16.5" x14ac:dyDescent="0.3"/>
  <sheetData>
    <row r="1" spans="1:26" x14ac:dyDescent="0.3">
      <c r="A1" t="s">
        <v>3</v>
      </c>
      <c r="B1">
        <v>0</v>
      </c>
      <c r="C1">
        <v>34</v>
      </c>
      <c r="D1">
        <v>68</v>
      </c>
      <c r="E1">
        <v>102</v>
      </c>
      <c r="F1">
        <v>136</v>
      </c>
      <c r="G1">
        <v>170</v>
      </c>
      <c r="H1">
        <v>204</v>
      </c>
      <c r="I1">
        <v>238</v>
      </c>
      <c r="J1">
        <v>272</v>
      </c>
      <c r="K1">
        <v>306</v>
      </c>
      <c r="L1">
        <v>340</v>
      </c>
      <c r="N1" t="s">
        <v>0</v>
      </c>
      <c r="O1">
        <v>0</v>
      </c>
      <c r="P1">
        <v>34</v>
      </c>
      <c r="Q1">
        <v>68</v>
      </c>
      <c r="R1">
        <v>102</v>
      </c>
      <c r="S1">
        <v>136</v>
      </c>
      <c r="T1">
        <v>170</v>
      </c>
      <c r="U1">
        <v>204</v>
      </c>
      <c r="V1">
        <v>238</v>
      </c>
      <c r="W1">
        <v>272</v>
      </c>
      <c r="X1">
        <v>306</v>
      </c>
      <c r="Y1">
        <v>340</v>
      </c>
    </row>
    <row r="2" spans="1:26" x14ac:dyDescent="0.3">
      <c r="A2">
        <v>90</v>
      </c>
      <c r="B2">
        <v>135.05000000000001</v>
      </c>
      <c r="C2">
        <v>134.97999999999999</v>
      </c>
      <c r="D2">
        <v>134.91999999999999</v>
      </c>
      <c r="E2">
        <v>134.07</v>
      </c>
      <c r="F2">
        <v>131.86000000000001</v>
      </c>
      <c r="G2">
        <v>129.13</v>
      </c>
      <c r="H2">
        <v>126.67</v>
      </c>
      <c r="I2">
        <v>124.72</v>
      </c>
      <c r="J2">
        <v>122.89</v>
      </c>
      <c r="K2">
        <v>121.07</v>
      </c>
      <c r="L2">
        <v>119.24</v>
      </c>
      <c r="M2">
        <f>L2/2</f>
        <v>59.62</v>
      </c>
      <c r="N2">
        <v>90</v>
      </c>
      <c r="O2">
        <v>0.02</v>
      </c>
      <c r="P2">
        <v>180.1</v>
      </c>
      <c r="Q2">
        <v>316.12</v>
      </c>
      <c r="R2">
        <v>393.6</v>
      </c>
      <c r="S2">
        <v>446.24</v>
      </c>
      <c r="T2">
        <v>488.91</v>
      </c>
      <c r="U2">
        <v>527.22</v>
      </c>
      <c r="V2">
        <v>563.12</v>
      </c>
      <c r="W2">
        <v>596.89</v>
      </c>
      <c r="X2">
        <v>628.59</v>
      </c>
      <c r="Y2">
        <v>658.73</v>
      </c>
      <c r="Z2">
        <f>Y2/2</f>
        <v>329.36500000000001</v>
      </c>
    </row>
    <row r="3" spans="1:26" x14ac:dyDescent="0.3">
      <c r="A3">
        <v>95</v>
      </c>
      <c r="B3">
        <v>135.05000000000001</v>
      </c>
      <c r="C3">
        <v>133.46</v>
      </c>
      <c r="D3">
        <v>131.96</v>
      </c>
      <c r="E3">
        <v>130.04</v>
      </c>
      <c r="F3">
        <v>126.9</v>
      </c>
      <c r="G3">
        <v>123.31</v>
      </c>
      <c r="H3">
        <v>120.13</v>
      </c>
      <c r="I3">
        <v>117.4</v>
      </c>
      <c r="J3">
        <v>114.74</v>
      </c>
      <c r="K3">
        <v>112.04</v>
      </c>
      <c r="L3">
        <v>109.31</v>
      </c>
      <c r="M3">
        <f t="shared" ref="M3:M20" si="0">L3/2</f>
        <v>54.655000000000001</v>
      </c>
      <c r="N3">
        <v>95</v>
      </c>
      <c r="O3">
        <v>0.02</v>
      </c>
      <c r="P3">
        <v>179.36</v>
      </c>
      <c r="Q3">
        <v>316.81</v>
      </c>
      <c r="R3">
        <v>394.43</v>
      </c>
      <c r="S3">
        <v>447.69</v>
      </c>
      <c r="T3">
        <v>491.11</v>
      </c>
      <c r="U3">
        <v>530.08000000000004</v>
      </c>
      <c r="V3">
        <v>566.38</v>
      </c>
      <c r="W3">
        <v>599.99</v>
      </c>
      <c r="X3">
        <v>631.44000000000005</v>
      </c>
      <c r="Y3">
        <v>661.43</v>
      </c>
      <c r="Z3">
        <f t="shared" ref="Z3:Z20" si="1">Y3/2</f>
        <v>330.71499999999997</v>
      </c>
    </row>
    <row r="4" spans="1:26" x14ac:dyDescent="0.3">
      <c r="A4">
        <v>100</v>
      </c>
      <c r="B4">
        <v>135.05000000000001</v>
      </c>
      <c r="C4">
        <v>131.96</v>
      </c>
      <c r="D4">
        <v>129</v>
      </c>
      <c r="E4">
        <v>125.98</v>
      </c>
      <c r="F4">
        <v>121.9</v>
      </c>
      <c r="G4">
        <v>117.4</v>
      </c>
      <c r="H4">
        <v>113.42</v>
      </c>
      <c r="I4">
        <v>109.84</v>
      </c>
      <c r="J4">
        <v>106.28</v>
      </c>
      <c r="K4">
        <v>102.62</v>
      </c>
      <c r="L4">
        <v>98.87</v>
      </c>
      <c r="M4">
        <f t="shared" si="0"/>
        <v>49.435000000000002</v>
      </c>
      <c r="N4">
        <v>100</v>
      </c>
      <c r="O4">
        <v>0.02</v>
      </c>
      <c r="P4">
        <v>177.28</v>
      </c>
      <c r="Q4">
        <v>315.75</v>
      </c>
      <c r="R4">
        <v>393.54</v>
      </c>
      <c r="S4">
        <v>447.35</v>
      </c>
      <c r="T4">
        <v>491.49</v>
      </c>
      <c r="U4">
        <v>530.97</v>
      </c>
      <c r="V4">
        <v>567.16</v>
      </c>
      <c r="W4">
        <v>600.29999999999995</v>
      </c>
      <c r="X4">
        <v>631.33000000000004</v>
      </c>
      <c r="Y4">
        <v>661.02</v>
      </c>
      <c r="Z4">
        <f t="shared" si="1"/>
        <v>330.51</v>
      </c>
    </row>
    <row r="5" spans="1:26" x14ac:dyDescent="0.3">
      <c r="A5">
        <v>105</v>
      </c>
      <c r="B5">
        <v>135.05000000000001</v>
      </c>
      <c r="C5">
        <v>130.47</v>
      </c>
      <c r="D5">
        <v>126.08</v>
      </c>
      <c r="E5">
        <v>121.92</v>
      </c>
      <c r="F5">
        <v>116.89</v>
      </c>
      <c r="G5">
        <v>111.43</v>
      </c>
      <c r="H5">
        <v>106.51</v>
      </c>
      <c r="I5">
        <v>101.98</v>
      </c>
      <c r="J5">
        <v>97.46</v>
      </c>
      <c r="K5">
        <v>92.8</v>
      </c>
      <c r="L5">
        <v>88.01</v>
      </c>
      <c r="M5">
        <f t="shared" si="0"/>
        <v>44.005000000000003</v>
      </c>
      <c r="N5">
        <v>105</v>
      </c>
      <c r="O5">
        <v>0.02</v>
      </c>
      <c r="P5">
        <v>173.87</v>
      </c>
      <c r="Q5">
        <v>312.85000000000002</v>
      </c>
      <c r="R5">
        <v>390.97</v>
      </c>
      <c r="S5">
        <v>445.2</v>
      </c>
      <c r="T5">
        <v>489.97</v>
      </c>
      <c r="U5">
        <v>529.66</v>
      </c>
      <c r="V5">
        <v>565.30999999999995</v>
      </c>
      <c r="W5">
        <v>597.79999999999995</v>
      </c>
      <c r="X5">
        <v>628.24</v>
      </c>
      <c r="Y5">
        <v>657.24</v>
      </c>
      <c r="Z5">
        <f t="shared" si="1"/>
        <v>328.62</v>
      </c>
    </row>
    <row r="6" spans="1:26" x14ac:dyDescent="0.3">
      <c r="A6">
        <v>110</v>
      </c>
      <c r="B6">
        <v>135.05000000000001</v>
      </c>
      <c r="C6">
        <v>129.02000000000001</v>
      </c>
      <c r="D6">
        <v>123.21</v>
      </c>
      <c r="E6">
        <v>117.84</v>
      </c>
      <c r="F6">
        <v>111.92</v>
      </c>
      <c r="G6">
        <v>105.5</v>
      </c>
      <c r="H6">
        <v>99.59</v>
      </c>
      <c r="I6">
        <v>94.06</v>
      </c>
      <c r="J6">
        <v>88.56</v>
      </c>
      <c r="K6">
        <v>82.95</v>
      </c>
      <c r="L6">
        <v>77.209999999999994</v>
      </c>
      <c r="M6">
        <f t="shared" si="0"/>
        <v>38.604999999999997</v>
      </c>
      <c r="N6">
        <v>110</v>
      </c>
      <c r="O6">
        <v>0.02</v>
      </c>
      <c r="P6">
        <v>169.16</v>
      </c>
      <c r="Q6">
        <v>307.95999999999998</v>
      </c>
      <c r="R6">
        <v>386.7</v>
      </c>
      <c r="S6">
        <v>441.12</v>
      </c>
      <c r="T6">
        <v>486.5</v>
      </c>
      <c r="U6">
        <v>526.15</v>
      </c>
      <c r="V6">
        <v>561.04</v>
      </c>
      <c r="W6">
        <v>592.65</v>
      </c>
      <c r="X6">
        <v>622.11</v>
      </c>
      <c r="Y6">
        <v>650.12</v>
      </c>
      <c r="Z6">
        <f t="shared" si="1"/>
        <v>325.06</v>
      </c>
    </row>
    <row r="7" spans="1:26" x14ac:dyDescent="0.3">
      <c r="A7">
        <v>115</v>
      </c>
      <c r="B7">
        <v>135.05000000000001</v>
      </c>
      <c r="C7">
        <v>127.62</v>
      </c>
      <c r="D7">
        <v>120.41</v>
      </c>
      <c r="E7">
        <v>113.78</v>
      </c>
      <c r="F7">
        <v>107</v>
      </c>
      <c r="G7">
        <v>99.69</v>
      </c>
      <c r="H7">
        <v>92.8</v>
      </c>
      <c r="I7">
        <v>86.28</v>
      </c>
      <c r="J7">
        <v>79.819999999999993</v>
      </c>
      <c r="K7">
        <v>73.290000000000006</v>
      </c>
      <c r="L7">
        <v>66.66</v>
      </c>
      <c r="M7">
        <f t="shared" si="0"/>
        <v>33.33</v>
      </c>
      <c r="N7">
        <v>115</v>
      </c>
      <c r="O7">
        <v>0.02</v>
      </c>
      <c r="P7">
        <v>163.19</v>
      </c>
      <c r="Q7">
        <v>300.81</v>
      </c>
      <c r="R7">
        <v>380.66</v>
      </c>
      <c r="S7">
        <v>434.97</v>
      </c>
      <c r="T7">
        <v>480.9</v>
      </c>
      <c r="U7">
        <v>520.37</v>
      </c>
      <c r="V7">
        <v>554.46</v>
      </c>
      <c r="W7">
        <v>584.98</v>
      </c>
      <c r="X7">
        <v>613.17999999999995</v>
      </c>
      <c r="Y7">
        <v>640.07000000000005</v>
      </c>
      <c r="Z7">
        <f t="shared" si="1"/>
        <v>320.03500000000003</v>
      </c>
    </row>
    <row r="8" spans="1:26" x14ac:dyDescent="0.3">
      <c r="A8">
        <v>120</v>
      </c>
      <c r="B8">
        <v>135.05000000000001</v>
      </c>
      <c r="C8">
        <v>126.27</v>
      </c>
      <c r="D8">
        <v>117.72</v>
      </c>
      <c r="E8">
        <v>109.81</v>
      </c>
      <c r="F8">
        <v>102.13</v>
      </c>
      <c r="G8">
        <v>94.01</v>
      </c>
      <c r="H8">
        <v>86.18</v>
      </c>
      <c r="I8">
        <v>78.709999999999994</v>
      </c>
      <c r="J8">
        <v>71.31</v>
      </c>
      <c r="K8">
        <v>63.89</v>
      </c>
      <c r="L8">
        <v>56.42</v>
      </c>
      <c r="M8">
        <f t="shared" si="0"/>
        <v>28.21</v>
      </c>
      <c r="N8">
        <v>120</v>
      </c>
      <c r="O8">
        <v>0.02</v>
      </c>
      <c r="P8">
        <v>155.99</v>
      </c>
      <c r="Q8">
        <v>291.04000000000002</v>
      </c>
      <c r="R8">
        <v>372.66</v>
      </c>
      <c r="S8">
        <v>426.67</v>
      </c>
      <c r="T8">
        <v>472.83</v>
      </c>
      <c r="U8">
        <v>512.16999999999996</v>
      </c>
      <c r="V8">
        <v>545.45000000000005</v>
      </c>
      <c r="W8">
        <v>574.72</v>
      </c>
      <c r="X8">
        <v>601.61</v>
      </c>
      <c r="Y8">
        <v>627.25</v>
      </c>
      <c r="Z8">
        <f t="shared" si="1"/>
        <v>313.625</v>
      </c>
    </row>
    <row r="9" spans="1:26" x14ac:dyDescent="0.3">
      <c r="A9">
        <v>125</v>
      </c>
      <c r="B9">
        <v>135.05000000000001</v>
      </c>
      <c r="C9">
        <v>124.99</v>
      </c>
      <c r="D9">
        <v>115.15</v>
      </c>
      <c r="E9">
        <v>105.98</v>
      </c>
      <c r="F9">
        <v>97.27</v>
      </c>
      <c r="G9">
        <v>88.44</v>
      </c>
      <c r="H9">
        <v>79.739999999999995</v>
      </c>
      <c r="I9">
        <v>71.39</v>
      </c>
      <c r="J9">
        <v>63.1</v>
      </c>
      <c r="K9">
        <v>54.81</v>
      </c>
      <c r="L9">
        <v>46.5</v>
      </c>
      <c r="M9">
        <f t="shared" si="0"/>
        <v>23.25</v>
      </c>
      <c r="N9">
        <v>125</v>
      </c>
      <c r="O9">
        <v>0.02</v>
      </c>
      <c r="P9">
        <v>147.61000000000001</v>
      </c>
      <c r="Q9">
        <v>278.08</v>
      </c>
      <c r="R9">
        <v>362.33</v>
      </c>
      <c r="S9">
        <v>416.09</v>
      </c>
      <c r="T9">
        <v>461.87</v>
      </c>
      <c r="U9">
        <v>501.27</v>
      </c>
      <c r="V9">
        <v>533.76</v>
      </c>
      <c r="W9">
        <v>561.75</v>
      </c>
      <c r="X9">
        <v>587.26</v>
      </c>
      <c r="Y9">
        <v>611.48</v>
      </c>
      <c r="Z9">
        <f t="shared" si="1"/>
        <v>305.74</v>
      </c>
    </row>
    <row r="10" spans="1:26" x14ac:dyDescent="0.3">
      <c r="A10">
        <v>130</v>
      </c>
      <c r="B10">
        <v>135.05000000000001</v>
      </c>
      <c r="C10">
        <v>123.78</v>
      </c>
      <c r="D10">
        <v>112.72</v>
      </c>
      <c r="E10">
        <v>102.35</v>
      </c>
      <c r="F10">
        <v>92.51</v>
      </c>
      <c r="G10">
        <v>82.89</v>
      </c>
      <c r="H10">
        <v>73.42</v>
      </c>
      <c r="I10">
        <v>64.28</v>
      </c>
      <c r="J10">
        <v>55.17</v>
      </c>
      <c r="K10">
        <v>46.05</v>
      </c>
      <c r="L10">
        <v>36.93</v>
      </c>
      <c r="M10">
        <f t="shared" si="0"/>
        <v>18.465</v>
      </c>
      <c r="N10">
        <v>130</v>
      </c>
      <c r="O10">
        <v>0.02</v>
      </c>
      <c r="P10">
        <v>138.12</v>
      </c>
      <c r="Q10">
        <v>261.95</v>
      </c>
      <c r="R10">
        <v>348.93</v>
      </c>
      <c r="S10">
        <v>402.9</v>
      </c>
      <c r="T10">
        <v>447.84</v>
      </c>
      <c r="U10">
        <v>486.9</v>
      </c>
      <c r="V10">
        <v>518.94000000000005</v>
      </c>
      <c r="W10">
        <v>545.67999999999995</v>
      </c>
      <c r="X10">
        <v>569.72</v>
      </c>
      <c r="Y10">
        <v>592.38</v>
      </c>
      <c r="Z10">
        <f t="shared" si="1"/>
        <v>296.19</v>
      </c>
    </row>
    <row r="11" spans="1:26" x14ac:dyDescent="0.3">
      <c r="A11">
        <v>135</v>
      </c>
      <c r="B11">
        <v>135.05000000000001</v>
      </c>
      <c r="C11">
        <v>122.66</v>
      </c>
      <c r="D11">
        <v>110.46</v>
      </c>
      <c r="E11">
        <v>98.93</v>
      </c>
      <c r="F11">
        <v>87.96</v>
      </c>
      <c r="G11">
        <v>77.349999999999994</v>
      </c>
      <c r="H11">
        <v>67.08</v>
      </c>
      <c r="I11">
        <v>57.23</v>
      </c>
      <c r="J11">
        <v>47.42</v>
      </c>
      <c r="K11">
        <v>37.56</v>
      </c>
      <c r="L11">
        <v>27.67</v>
      </c>
      <c r="M11">
        <f t="shared" si="0"/>
        <v>13.835000000000001</v>
      </c>
      <c r="N11">
        <v>135</v>
      </c>
      <c r="O11">
        <v>0.02</v>
      </c>
      <c r="P11">
        <v>127.59</v>
      </c>
      <c r="Q11">
        <v>243.08</v>
      </c>
      <c r="R11">
        <v>331.17</v>
      </c>
      <c r="S11">
        <v>386.4</v>
      </c>
      <c r="T11">
        <v>430.5</v>
      </c>
      <c r="U11">
        <v>468.75</v>
      </c>
      <c r="V11">
        <v>500.21</v>
      </c>
      <c r="W11">
        <v>525.94000000000005</v>
      </c>
      <c r="X11">
        <v>548.30999999999995</v>
      </c>
      <c r="Y11">
        <v>569.04999999999995</v>
      </c>
      <c r="Z11">
        <f t="shared" si="1"/>
        <v>284.52499999999998</v>
      </c>
    </row>
    <row r="12" spans="1:26" x14ac:dyDescent="0.3">
      <c r="A12">
        <v>140</v>
      </c>
      <c r="B12">
        <v>135.05000000000001</v>
      </c>
      <c r="C12">
        <v>121.63</v>
      </c>
      <c r="D12">
        <v>108.38</v>
      </c>
      <c r="E12">
        <v>95.78</v>
      </c>
      <c r="F12">
        <v>83.73</v>
      </c>
      <c r="G12">
        <v>72.040000000000006</v>
      </c>
      <c r="H12">
        <v>60.73</v>
      </c>
      <c r="I12">
        <v>50.04</v>
      </c>
      <c r="J12">
        <v>39.65</v>
      </c>
      <c r="K12">
        <v>29.22</v>
      </c>
      <c r="L12">
        <v>18.73</v>
      </c>
      <c r="M12">
        <f t="shared" si="0"/>
        <v>9.3650000000000002</v>
      </c>
      <c r="N12">
        <v>140</v>
      </c>
      <c r="O12">
        <v>0.02</v>
      </c>
      <c r="P12">
        <v>116.09</v>
      </c>
      <c r="Q12">
        <v>221.87</v>
      </c>
      <c r="R12">
        <v>308.12</v>
      </c>
      <c r="S12">
        <v>364.9</v>
      </c>
      <c r="T12">
        <v>409.02</v>
      </c>
      <c r="U12">
        <v>446.54</v>
      </c>
      <c r="V12">
        <v>477.19</v>
      </c>
      <c r="W12">
        <v>501.95</v>
      </c>
      <c r="X12">
        <v>522.47</v>
      </c>
      <c r="Y12">
        <v>541.32000000000005</v>
      </c>
      <c r="Z12">
        <f t="shared" si="1"/>
        <v>270.66000000000003</v>
      </c>
    </row>
    <row r="13" spans="1:26" x14ac:dyDescent="0.3">
      <c r="A13">
        <v>145</v>
      </c>
      <c r="B13">
        <v>135.05000000000001</v>
      </c>
      <c r="C13">
        <v>120.71</v>
      </c>
      <c r="D13">
        <v>106.5</v>
      </c>
      <c r="E13">
        <v>92.9</v>
      </c>
      <c r="F13">
        <v>79.849999999999994</v>
      </c>
      <c r="G13">
        <v>67.150000000000006</v>
      </c>
      <c r="H13">
        <v>54.8</v>
      </c>
      <c r="I13">
        <v>42.96</v>
      </c>
      <c r="J13">
        <v>31.68</v>
      </c>
      <c r="K13">
        <v>20.6</v>
      </c>
      <c r="L13">
        <v>9.6199999999999992</v>
      </c>
      <c r="M13">
        <f t="shared" si="0"/>
        <v>4.8099999999999996</v>
      </c>
      <c r="N13">
        <v>145</v>
      </c>
      <c r="O13">
        <v>0.02</v>
      </c>
      <c r="P13">
        <v>103.7</v>
      </c>
      <c r="Q13">
        <v>198.67</v>
      </c>
      <c r="R13">
        <v>280.44</v>
      </c>
      <c r="S13">
        <v>336.44</v>
      </c>
      <c r="T13">
        <v>380.33</v>
      </c>
      <c r="U13">
        <v>418</v>
      </c>
      <c r="V13">
        <v>448.73</v>
      </c>
      <c r="W13">
        <v>473.04</v>
      </c>
      <c r="X13">
        <v>492.7</v>
      </c>
      <c r="Y13">
        <v>510.4</v>
      </c>
      <c r="Z13">
        <f t="shared" si="1"/>
        <v>255.2</v>
      </c>
    </row>
    <row r="14" spans="1:26" x14ac:dyDescent="0.3">
      <c r="A14">
        <v>150</v>
      </c>
      <c r="B14">
        <v>135.05000000000001</v>
      </c>
      <c r="C14">
        <v>119.89</v>
      </c>
      <c r="D14">
        <v>104.84</v>
      </c>
      <c r="E14">
        <v>90.35</v>
      </c>
      <c r="F14">
        <v>76.39</v>
      </c>
      <c r="G14">
        <v>62.77</v>
      </c>
      <c r="H14">
        <v>49.47</v>
      </c>
      <c r="I14">
        <v>36.54</v>
      </c>
      <c r="J14">
        <v>24.16</v>
      </c>
      <c r="K14">
        <v>12.15</v>
      </c>
      <c r="L14">
        <v>0.35</v>
      </c>
      <c r="M14">
        <f t="shared" si="0"/>
        <v>0.17499999999999999</v>
      </c>
      <c r="N14">
        <v>150</v>
      </c>
      <c r="O14">
        <v>0.02</v>
      </c>
      <c r="P14">
        <v>90.51</v>
      </c>
      <c r="Q14">
        <v>173.76</v>
      </c>
      <c r="R14">
        <v>248</v>
      </c>
      <c r="S14">
        <v>303.23</v>
      </c>
      <c r="T14">
        <v>343.45</v>
      </c>
      <c r="U14">
        <v>378.61</v>
      </c>
      <c r="V14">
        <v>409.69</v>
      </c>
      <c r="W14">
        <v>435.42</v>
      </c>
      <c r="X14">
        <v>456.12</v>
      </c>
      <c r="Y14">
        <v>472.91</v>
      </c>
      <c r="Z14">
        <f t="shared" si="1"/>
        <v>236.45500000000001</v>
      </c>
    </row>
    <row r="15" spans="1:26" x14ac:dyDescent="0.3">
      <c r="A15">
        <v>155</v>
      </c>
      <c r="B15">
        <v>135.05000000000001</v>
      </c>
      <c r="C15">
        <v>119.19</v>
      </c>
      <c r="D15">
        <v>103.42</v>
      </c>
      <c r="E15">
        <v>88.13</v>
      </c>
      <c r="F15">
        <v>73.38</v>
      </c>
      <c r="G15">
        <v>58.96</v>
      </c>
      <c r="H15">
        <v>44.83</v>
      </c>
      <c r="I15">
        <v>30.99</v>
      </c>
      <c r="J15">
        <v>17.600000000000001</v>
      </c>
      <c r="K15">
        <v>4.7</v>
      </c>
      <c r="L15">
        <v>-7.87</v>
      </c>
      <c r="M15">
        <f t="shared" si="0"/>
        <v>-3.9350000000000001</v>
      </c>
      <c r="N15">
        <v>155</v>
      </c>
      <c r="O15">
        <v>0.02</v>
      </c>
      <c r="P15">
        <v>76.62</v>
      </c>
      <c r="Q15">
        <v>147.38</v>
      </c>
      <c r="R15">
        <v>211.64</v>
      </c>
      <c r="S15">
        <v>265.24</v>
      </c>
      <c r="T15">
        <v>303.02</v>
      </c>
      <c r="U15">
        <v>333.9</v>
      </c>
      <c r="V15">
        <v>361.69</v>
      </c>
      <c r="W15">
        <v>387.51</v>
      </c>
      <c r="X15">
        <v>408.4</v>
      </c>
      <c r="Y15">
        <v>423.61</v>
      </c>
      <c r="Z15">
        <f t="shared" si="1"/>
        <v>211.80500000000001</v>
      </c>
    </row>
    <row r="16" spans="1:26" x14ac:dyDescent="0.3">
      <c r="A16">
        <v>160</v>
      </c>
      <c r="B16">
        <v>135.05000000000001</v>
      </c>
      <c r="C16">
        <v>118.61</v>
      </c>
      <c r="D16">
        <v>102.24</v>
      </c>
      <c r="E16">
        <v>86.3</v>
      </c>
      <c r="F16">
        <v>70.86</v>
      </c>
      <c r="G16">
        <v>55.79</v>
      </c>
      <c r="H16">
        <v>41.03</v>
      </c>
      <c r="I16">
        <v>26.56</v>
      </c>
      <c r="J16">
        <v>12.35</v>
      </c>
      <c r="K16">
        <v>-1.51</v>
      </c>
      <c r="L16">
        <v>-14.89</v>
      </c>
      <c r="M16">
        <f t="shared" si="0"/>
        <v>-7.4450000000000003</v>
      </c>
      <c r="N16">
        <v>160</v>
      </c>
      <c r="O16">
        <v>0.02</v>
      </c>
      <c r="P16">
        <v>62.12</v>
      </c>
      <c r="Q16">
        <v>119.75</v>
      </c>
      <c r="R16">
        <v>172.67</v>
      </c>
      <c r="S16">
        <v>220.51</v>
      </c>
      <c r="T16">
        <v>257.02999999999997</v>
      </c>
      <c r="U16">
        <v>284.83999999999997</v>
      </c>
      <c r="V16">
        <v>308.74</v>
      </c>
      <c r="W16">
        <v>331.05</v>
      </c>
      <c r="X16">
        <v>351.29</v>
      </c>
      <c r="Y16">
        <v>365.63</v>
      </c>
      <c r="Z16">
        <f t="shared" si="1"/>
        <v>182.815</v>
      </c>
    </row>
    <row r="17" spans="1:26" x14ac:dyDescent="0.3">
      <c r="A17">
        <v>165</v>
      </c>
      <c r="B17">
        <v>135.05000000000001</v>
      </c>
      <c r="C17">
        <v>118.15</v>
      </c>
      <c r="D17">
        <v>101.32</v>
      </c>
      <c r="E17">
        <v>84.85</v>
      </c>
      <c r="F17">
        <v>68.88</v>
      </c>
      <c r="G17">
        <v>53.34</v>
      </c>
      <c r="H17">
        <v>38.130000000000003</v>
      </c>
      <c r="I17">
        <v>23.13</v>
      </c>
      <c r="J17">
        <v>8.31</v>
      </c>
      <c r="K17">
        <v>-6.3</v>
      </c>
      <c r="L17">
        <v>-20.57</v>
      </c>
      <c r="M17">
        <f t="shared" si="0"/>
        <v>-10.285</v>
      </c>
      <c r="N17">
        <v>165</v>
      </c>
      <c r="O17">
        <v>0.02</v>
      </c>
      <c r="P17">
        <v>47.12</v>
      </c>
      <c r="Q17">
        <v>91.05</v>
      </c>
      <c r="R17">
        <v>131.83000000000001</v>
      </c>
      <c r="S17">
        <v>169.85</v>
      </c>
      <c r="T17">
        <v>202.34</v>
      </c>
      <c r="U17">
        <v>227.02</v>
      </c>
      <c r="V17">
        <v>248.33</v>
      </c>
      <c r="W17">
        <v>266.91000000000003</v>
      </c>
      <c r="X17">
        <v>283.45999999999998</v>
      </c>
      <c r="Y17">
        <v>297.13</v>
      </c>
      <c r="Z17">
        <f t="shared" si="1"/>
        <v>148.565</v>
      </c>
    </row>
    <row r="18" spans="1:26" x14ac:dyDescent="0.3">
      <c r="A18">
        <v>170</v>
      </c>
      <c r="B18">
        <v>135.05000000000001</v>
      </c>
      <c r="C18">
        <v>117.82</v>
      </c>
      <c r="D18">
        <v>100.66</v>
      </c>
      <c r="E18">
        <v>83.81</v>
      </c>
      <c r="F18">
        <v>67.489999999999995</v>
      </c>
      <c r="G18">
        <v>51.62</v>
      </c>
      <c r="H18">
        <v>36.04</v>
      </c>
      <c r="I18">
        <v>20.65</v>
      </c>
      <c r="J18">
        <v>5.42</v>
      </c>
      <c r="K18">
        <v>-9.66</v>
      </c>
      <c r="L18">
        <v>-24.5</v>
      </c>
      <c r="M18">
        <f t="shared" si="0"/>
        <v>-12.25</v>
      </c>
      <c r="N18">
        <v>170</v>
      </c>
      <c r="O18">
        <v>0.02</v>
      </c>
      <c r="P18">
        <v>31.69</v>
      </c>
      <c r="Q18">
        <v>61.5</v>
      </c>
      <c r="R18">
        <v>89.37</v>
      </c>
      <c r="S18">
        <v>115.41</v>
      </c>
      <c r="T18">
        <v>139.38</v>
      </c>
      <c r="U18">
        <v>159.61000000000001</v>
      </c>
      <c r="V18">
        <v>175.22</v>
      </c>
      <c r="W18">
        <v>188.86</v>
      </c>
      <c r="X18">
        <v>201.4</v>
      </c>
      <c r="Y18">
        <v>212.9</v>
      </c>
      <c r="Z18">
        <f t="shared" si="1"/>
        <v>106.45</v>
      </c>
    </row>
    <row r="19" spans="1:26" x14ac:dyDescent="0.3">
      <c r="A19">
        <v>175</v>
      </c>
      <c r="B19">
        <v>135.05000000000001</v>
      </c>
      <c r="C19">
        <v>117.62</v>
      </c>
      <c r="D19">
        <v>100.27</v>
      </c>
      <c r="E19">
        <v>83.17</v>
      </c>
      <c r="F19">
        <v>66.680000000000007</v>
      </c>
      <c r="G19">
        <v>50.6</v>
      </c>
      <c r="H19">
        <v>34.770000000000003</v>
      </c>
      <c r="I19">
        <v>19.12</v>
      </c>
      <c r="J19">
        <v>3.63</v>
      </c>
      <c r="K19">
        <v>-11.73</v>
      </c>
      <c r="L19">
        <v>-26.85</v>
      </c>
      <c r="M19">
        <f t="shared" si="0"/>
        <v>-13.425000000000001</v>
      </c>
      <c r="N19">
        <v>175</v>
      </c>
      <c r="O19">
        <v>0.02</v>
      </c>
      <c r="P19">
        <v>15.94</v>
      </c>
      <c r="Q19">
        <v>31.17</v>
      </c>
      <c r="R19">
        <v>45.48</v>
      </c>
      <c r="S19">
        <v>58.45</v>
      </c>
      <c r="T19">
        <v>70.59</v>
      </c>
      <c r="U19">
        <v>82.16</v>
      </c>
      <c r="V19">
        <v>92.35</v>
      </c>
      <c r="W19">
        <v>99.07</v>
      </c>
      <c r="X19">
        <v>104.03</v>
      </c>
      <c r="Y19">
        <v>108.37</v>
      </c>
      <c r="Z19">
        <f t="shared" si="1"/>
        <v>54.185000000000002</v>
      </c>
    </row>
    <row r="20" spans="1:26" x14ac:dyDescent="0.3">
      <c r="A20">
        <v>180</v>
      </c>
      <c r="B20">
        <v>135.05000000000001</v>
      </c>
      <c r="C20">
        <v>117.55</v>
      </c>
      <c r="D20">
        <v>100.14</v>
      </c>
      <c r="E20">
        <v>82.95</v>
      </c>
      <c r="F20">
        <v>66.430000000000007</v>
      </c>
      <c r="G20">
        <v>50.27</v>
      </c>
      <c r="H20">
        <v>34.33</v>
      </c>
      <c r="I20">
        <v>18.559999999999999</v>
      </c>
      <c r="J20">
        <v>2.98</v>
      </c>
      <c r="K20">
        <v>-12.44</v>
      </c>
      <c r="L20">
        <v>-27.64</v>
      </c>
      <c r="M20">
        <f t="shared" si="0"/>
        <v>-13.82</v>
      </c>
      <c r="N20">
        <v>180</v>
      </c>
      <c r="O20">
        <v>0.02</v>
      </c>
      <c r="P20">
        <v>0.04</v>
      </c>
      <c r="Q20">
        <v>0.05</v>
      </c>
      <c r="R20">
        <v>0.06</v>
      </c>
      <c r="S20">
        <v>0.04</v>
      </c>
      <c r="T20">
        <v>0.04</v>
      </c>
      <c r="U20">
        <v>7.0000000000000007E-2</v>
      </c>
      <c r="V20">
        <v>0.13</v>
      </c>
      <c r="W20">
        <v>0.14000000000000001</v>
      </c>
      <c r="X20">
        <v>0.11</v>
      </c>
      <c r="Y20">
        <v>0.11</v>
      </c>
      <c r="Z20">
        <f t="shared" si="1"/>
        <v>5.5E-2</v>
      </c>
    </row>
    <row r="22" spans="1:26" x14ac:dyDescent="0.3">
      <c r="A22" t="s">
        <v>1</v>
      </c>
      <c r="C22">
        <v>34</v>
      </c>
      <c r="D22">
        <v>68</v>
      </c>
      <c r="E22">
        <v>102</v>
      </c>
      <c r="F22">
        <v>136</v>
      </c>
      <c r="G22">
        <v>170</v>
      </c>
      <c r="H22">
        <v>204</v>
      </c>
      <c r="I22">
        <v>238</v>
      </c>
      <c r="J22">
        <v>272</v>
      </c>
      <c r="K22">
        <v>306</v>
      </c>
      <c r="L22">
        <v>340</v>
      </c>
      <c r="N22" t="s">
        <v>2</v>
      </c>
      <c r="P22">
        <v>34</v>
      </c>
      <c r="Q22">
        <v>68</v>
      </c>
      <c r="R22">
        <v>102</v>
      </c>
      <c r="S22">
        <v>136</v>
      </c>
      <c r="T22">
        <v>170</v>
      </c>
      <c r="U22">
        <v>204</v>
      </c>
      <c r="V22">
        <v>238</v>
      </c>
      <c r="W22">
        <v>272</v>
      </c>
      <c r="X22">
        <v>306</v>
      </c>
      <c r="Y22">
        <v>340</v>
      </c>
    </row>
    <row r="23" spans="1:26" x14ac:dyDescent="0.3">
      <c r="A23">
        <v>90</v>
      </c>
      <c r="B23">
        <v>135.87</v>
      </c>
      <c r="C23">
        <v>142.15</v>
      </c>
      <c r="D23">
        <v>141.69</v>
      </c>
      <c r="E23">
        <v>139.61000000000001</v>
      </c>
      <c r="F23">
        <v>137.36000000000001</v>
      </c>
      <c r="G23">
        <v>135.22</v>
      </c>
      <c r="H23">
        <v>132.78</v>
      </c>
      <c r="I23">
        <v>130.58000000000001</v>
      </c>
      <c r="J23">
        <v>128.37</v>
      </c>
      <c r="K23">
        <v>125.11</v>
      </c>
      <c r="L23">
        <v>122.91</v>
      </c>
      <c r="N23">
        <v>90</v>
      </c>
      <c r="O23">
        <v>0</v>
      </c>
      <c r="P23">
        <v>53.96</v>
      </c>
      <c r="Q23">
        <v>104.1</v>
      </c>
      <c r="R23">
        <v>141.29</v>
      </c>
      <c r="S23">
        <v>166.96</v>
      </c>
      <c r="T23">
        <v>185.54</v>
      </c>
      <c r="U23">
        <v>205.43</v>
      </c>
      <c r="V23">
        <v>223.55</v>
      </c>
      <c r="W23">
        <v>241.48</v>
      </c>
      <c r="X23">
        <v>253.39</v>
      </c>
      <c r="Y23">
        <v>263.44</v>
      </c>
    </row>
    <row r="24" spans="1:26" x14ac:dyDescent="0.3">
      <c r="A24">
        <v>95</v>
      </c>
      <c r="B24">
        <v>135.87</v>
      </c>
      <c r="C24">
        <v>140.16</v>
      </c>
      <c r="D24">
        <v>138.44999999999999</v>
      </c>
      <c r="E24">
        <v>136.25</v>
      </c>
      <c r="F24">
        <v>133.34</v>
      </c>
      <c r="G24">
        <v>129.97</v>
      </c>
      <c r="H24">
        <v>126.61</v>
      </c>
      <c r="I24">
        <v>123.2</v>
      </c>
      <c r="J24">
        <v>120.47</v>
      </c>
      <c r="K24">
        <v>117.21</v>
      </c>
      <c r="L24">
        <v>113.96</v>
      </c>
      <c r="N24">
        <v>95</v>
      </c>
      <c r="O24">
        <v>0</v>
      </c>
      <c r="P24">
        <v>54.15</v>
      </c>
      <c r="Q24">
        <v>104.35</v>
      </c>
      <c r="R24">
        <v>141.80000000000001</v>
      </c>
      <c r="S24">
        <v>167.71</v>
      </c>
      <c r="T24">
        <v>186.52</v>
      </c>
      <c r="U24">
        <v>204.82</v>
      </c>
      <c r="V24">
        <v>222.8</v>
      </c>
      <c r="W24">
        <v>240.42</v>
      </c>
      <c r="X24">
        <v>252.22</v>
      </c>
      <c r="Y24">
        <v>261.91000000000003</v>
      </c>
    </row>
    <row r="25" spans="1:26" x14ac:dyDescent="0.3">
      <c r="A25">
        <v>100</v>
      </c>
      <c r="B25">
        <v>135.87</v>
      </c>
      <c r="C25">
        <v>138.44999999999999</v>
      </c>
      <c r="D25">
        <v>135.33000000000001</v>
      </c>
      <c r="E25">
        <v>131.76</v>
      </c>
      <c r="F25">
        <v>128.15</v>
      </c>
      <c r="G25">
        <v>123.91</v>
      </c>
      <c r="H25">
        <v>120.75</v>
      </c>
      <c r="I25">
        <v>116.41</v>
      </c>
      <c r="J25">
        <v>112.64</v>
      </c>
      <c r="K25">
        <v>108.87</v>
      </c>
      <c r="L25">
        <v>105.1</v>
      </c>
      <c r="N25">
        <v>100</v>
      </c>
      <c r="O25">
        <v>0</v>
      </c>
      <c r="P25">
        <v>54.45</v>
      </c>
      <c r="Q25">
        <v>103.99</v>
      </c>
      <c r="R25">
        <v>141.63</v>
      </c>
      <c r="S25">
        <v>167.73</v>
      </c>
      <c r="T25">
        <v>186.95</v>
      </c>
      <c r="U25">
        <v>203.52</v>
      </c>
      <c r="V25">
        <v>221.84</v>
      </c>
      <c r="W25">
        <v>239.1</v>
      </c>
      <c r="X25">
        <v>251.07</v>
      </c>
      <c r="Y25">
        <v>260.39</v>
      </c>
    </row>
    <row r="26" spans="1:26" x14ac:dyDescent="0.3">
      <c r="A26">
        <v>105</v>
      </c>
      <c r="B26">
        <v>135.87</v>
      </c>
      <c r="C26">
        <v>136.63999999999999</v>
      </c>
      <c r="D26">
        <v>132.1</v>
      </c>
      <c r="E26">
        <v>127.45</v>
      </c>
      <c r="F26">
        <v>122.89</v>
      </c>
      <c r="G26">
        <v>117.92</v>
      </c>
      <c r="H26">
        <v>113.34</v>
      </c>
      <c r="I26">
        <v>109.16</v>
      </c>
      <c r="J26">
        <v>104.88</v>
      </c>
      <c r="K26">
        <v>100.07</v>
      </c>
      <c r="L26">
        <v>95.79</v>
      </c>
      <c r="N26">
        <v>105</v>
      </c>
      <c r="O26">
        <v>0</v>
      </c>
      <c r="P26">
        <v>53.61</v>
      </c>
      <c r="Q26">
        <v>102.67</v>
      </c>
      <c r="R26">
        <v>140.1</v>
      </c>
      <c r="S26">
        <v>166.86</v>
      </c>
      <c r="T26">
        <v>186.28</v>
      </c>
      <c r="U26">
        <v>202.35</v>
      </c>
      <c r="V26">
        <v>220.63</v>
      </c>
      <c r="W26">
        <v>235.67</v>
      </c>
      <c r="X26">
        <v>249.13</v>
      </c>
      <c r="Y26">
        <v>258.88</v>
      </c>
    </row>
    <row r="27" spans="1:26" x14ac:dyDescent="0.3">
      <c r="A27">
        <v>110</v>
      </c>
      <c r="B27">
        <v>135.87</v>
      </c>
      <c r="C27">
        <v>135.08000000000001</v>
      </c>
      <c r="D27">
        <v>128.77000000000001</v>
      </c>
      <c r="E27">
        <v>123.2</v>
      </c>
      <c r="F27">
        <v>117.64</v>
      </c>
      <c r="G27">
        <v>112.13</v>
      </c>
      <c r="H27">
        <v>106.19</v>
      </c>
      <c r="I27">
        <v>101.44</v>
      </c>
      <c r="J27">
        <v>97.19</v>
      </c>
      <c r="K27">
        <v>91.88</v>
      </c>
      <c r="L27">
        <v>86.04</v>
      </c>
      <c r="N27">
        <v>110</v>
      </c>
      <c r="O27">
        <v>0</v>
      </c>
      <c r="P27">
        <v>53.69</v>
      </c>
      <c r="Q27">
        <v>100.61</v>
      </c>
      <c r="R27">
        <v>138.02000000000001</v>
      </c>
      <c r="S27">
        <v>164.82</v>
      </c>
      <c r="T27">
        <v>184.84</v>
      </c>
      <c r="U27">
        <v>200.56</v>
      </c>
      <c r="V27">
        <v>216.99</v>
      </c>
      <c r="W27">
        <v>232.27</v>
      </c>
      <c r="X27">
        <v>245.1</v>
      </c>
      <c r="Y27">
        <v>255.29</v>
      </c>
    </row>
    <row r="28" spans="1:26" x14ac:dyDescent="0.3">
      <c r="A28">
        <v>115</v>
      </c>
      <c r="B28">
        <v>135.87</v>
      </c>
      <c r="C28">
        <v>133.22999999999999</v>
      </c>
      <c r="D28">
        <v>125.95</v>
      </c>
      <c r="E28">
        <v>119.17</v>
      </c>
      <c r="F28">
        <v>112.63</v>
      </c>
      <c r="G28">
        <v>106.2</v>
      </c>
      <c r="H28">
        <v>99.92</v>
      </c>
      <c r="I28">
        <v>93.46</v>
      </c>
      <c r="J28">
        <v>89.03</v>
      </c>
      <c r="K28">
        <v>82.7</v>
      </c>
      <c r="L28">
        <v>76.37</v>
      </c>
      <c r="N28">
        <v>115</v>
      </c>
      <c r="O28">
        <v>0</v>
      </c>
      <c r="P28">
        <v>51.73</v>
      </c>
      <c r="Q28">
        <v>97.52</v>
      </c>
      <c r="R28">
        <v>134.47999999999999</v>
      </c>
      <c r="S28">
        <v>161.59</v>
      </c>
      <c r="T28">
        <v>181.96</v>
      </c>
      <c r="U28">
        <v>198.51</v>
      </c>
      <c r="V28">
        <v>212.54</v>
      </c>
      <c r="W28">
        <v>228.01</v>
      </c>
      <c r="X28">
        <v>240.56</v>
      </c>
      <c r="Y28">
        <v>250.66</v>
      </c>
    </row>
    <row r="29" spans="1:26" x14ac:dyDescent="0.3">
      <c r="A29">
        <v>120</v>
      </c>
      <c r="B29">
        <v>135.87</v>
      </c>
      <c r="C29">
        <v>131.93</v>
      </c>
      <c r="D29">
        <v>122.9</v>
      </c>
      <c r="E29">
        <v>115.38</v>
      </c>
      <c r="F29">
        <v>107.75</v>
      </c>
      <c r="G29">
        <v>100.57</v>
      </c>
      <c r="H29">
        <v>93.18</v>
      </c>
      <c r="I29">
        <v>86.21</v>
      </c>
      <c r="J29">
        <v>79.959999999999994</v>
      </c>
      <c r="K29">
        <v>74.12</v>
      </c>
      <c r="L29">
        <v>66.78</v>
      </c>
      <c r="N29">
        <v>120</v>
      </c>
      <c r="O29">
        <v>0</v>
      </c>
      <c r="P29">
        <v>50.69</v>
      </c>
      <c r="Q29">
        <v>95.27</v>
      </c>
      <c r="R29">
        <v>131.22999999999999</v>
      </c>
      <c r="S29">
        <v>157.78</v>
      </c>
      <c r="T29">
        <v>178.35</v>
      </c>
      <c r="U29">
        <v>194.72</v>
      </c>
      <c r="V29">
        <v>208.41</v>
      </c>
      <c r="W29">
        <v>222.28</v>
      </c>
      <c r="X29">
        <v>233.95</v>
      </c>
      <c r="Y29">
        <v>246.07</v>
      </c>
    </row>
    <row r="30" spans="1:26" x14ac:dyDescent="0.3">
      <c r="A30">
        <v>125</v>
      </c>
      <c r="B30">
        <v>135.87</v>
      </c>
      <c r="C30">
        <v>129.83000000000001</v>
      </c>
      <c r="D30">
        <v>120.24</v>
      </c>
      <c r="E30">
        <v>111.01</v>
      </c>
      <c r="F30">
        <v>102.6</v>
      </c>
      <c r="G30">
        <v>94.59</v>
      </c>
      <c r="H30">
        <v>86.45</v>
      </c>
      <c r="I30">
        <v>78.72</v>
      </c>
      <c r="J30">
        <v>71.040000000000006</v>
      </c>
      <c r="K30">
        <v>64.77</v>
      </c>
      <c r="L30">
        <v>57.8</v>
      </c>
      <c r="N30">
        <v>125</v>
      </c>
      <c r="O30">
        <v>0</v>
      </c>
      <c r="P30">
        <v>48.05</v>
      </c>
      <c r="Q30">
        <v>90.77</v>
      </c>
      <c r="R30">
        <v>125.25</v>
      </c>
      <c r="S30">
        <v>152.32</v>
      </c>
      <c r="T30">
        <v>173.08</v>
      </c>
      <c r="U30">
        <v>189.91</v>
      </c>
      <c r="V30">
        <v>203.71</v>
      </c>
      <c r="W30">
        <v>215.29</v>
      </c>
      <c r="X30">
        <v>227.95</v>
      </c>
      <c r="Y30">
        <v>239.41</v>
      </c>
    </row>
    <row r="31" spans="1:26" x14ac:dyDescent="0.3">
      <c r="A31">
        <v>130</v>
      </c>
      <c r="B31">
        <v>135.87</v>
      </c>
      <c r="C31">
        <v>128.75</v>
      </c>
      <c r="D31">
        <v>117.43</v>
      </c>
      <c r="E31">
        <v>106.59</v>
      </c>
      <c r="F31">
        <v>97.31</v>
      </c>
      <c r="G31">
        <v>88.61</v>
      </c>
      <c r="H31">
        <v>79.989999999999995</v>
      </c>
      <c r="I31">
        <v>71.25</v>
      </c>
      <c r="J31">
        <v>62.73</v>
      </c>
      <c r="K31">
        <v>54.88</v>
      </c>
      <c r="L31">
        <v>47.53</v>
      </c>
      <c r="N31">
        <v>130</v>
      </c>
      <c r="O31">
        <v>0</v>
      </c>
      <c r="P31">
        <v>46.29</v>
      </c>
      <c r="Q31">
        <v>85.99</v>
      </c>
      <c r="R31">
        <v>119.21</v>
      </c>
      <c r="S31">
        <v>146.06</v>
      </c>
      <c r="T31">
        <v>166.05</v>
      </c>
      <c r="U31">
        <v>183.02</v>
      </c>
      <c r="V31">
        <v>197.19</v>
      </c>
      <c r="W31">
        <v>209.14</v>
      </c>
      <c r="X31">
        <v>219.27</v>
      </c>
      <c r="Y31">
        <v>232.33</v>
      </c>
    </row>
    <row r="32" spans="1:26" x14ac:dyDescent="0.3">
      <c r="A32">
        <v>135</v>
      </c>
      <c r="B32">
        <v>135.87</v>
      </c>
      <c r="C32">
        <v>127.03</v>
      </c>
      <c r="D32">
        <v>113.87</v>
      </c>
      <c r="E32">
        <v>103</v>
      </c>
      <c r="F32">
        <v>92.53</v>
      </c>
      <c r="G32">
        <v>82.89</v>
      </c>
      <c r="H32">
        <v>73.48</v>
      </c>
      <c r="I32">
        <v>64.010000000000005</v>
      </c>
      <c r="J32">
        <v>54.85</v>
      </c>
      <c r="K32">
        <v>45.7</v>
      </c>
      <c r="L32">
        <v>37.119999999999997</v>
      </c>
      <c r="N32">
        <v>135</v>
      </c>
      <c r="O32">
        <v>0</v>
      </c>
      <c r="P32">
        <v>43.17</v>
      </c>
      <c r="Q32">
        <v>79.069999999999993</v>
      </c>
      <c r="R32">
        <v>111.8</v>
      </c>
      <c r="S32">
        <v>137.63</v>
      </c>
      <c r="T32">
        <v>158.13999999999999</v>
      </c>
      <c r="U32">
        <v>174.85</v>
      </c>
      <c r="V32">
        <v>188.74</v>
      </c>
      <c r="W32">
        <v>200.64</v>
      </c>
      <c r="X32">
        <v>211.17</v>
      </c>
      <c r="Y32">
        <v>220.15</v>
      </c>
    </row>
    <row r="33" spans="1:25" x14ac:dyDescent="0.3">
      <c r="A33">
        <v>140</v>
      </c>
      <c r="B33">
        <v>135.87</v>
      </c>
      <c r="C33">
        <v>125.51</v>
      </c>
      <c r="D33">
        <v>111.92</v>
      </c>
      <c r="E33">
        <v>99.52</v>
      </c>
      <c r="F33">
        <v>88.35</v>
      </c>
      <c r="G33">
        <v>77.430000000000007</v>
      </c>
      <c r="H33">
        <v>66.89</v>
      </c>
      <c r="I33">
        <v>56.73</v>
      </c>
      <c r="J33">
        <v>46.97</v>
      </c>
      <c r="K33">
        <v>37.369999999999997</v>
      </c>
      <c r="L33">
        <v>27.75</v>
      </c>
      <c r="N33">
        <v>140</v>
      </c>
      <c r="O33">
        <v>0</v>
      </c>
      <c r="P33">
        <v>40</v>
      </c>
      <c r="Q33">
        <v>73.89</v>
      </c>
      <c r="R33">
        <v>103.57</v>
      </c>
      <c r="S33">
        <v>127.51</v>
      </c>
      <c r="T33">
        <v>147.51</v>
      </c>
      <c r="U33">
        <v>164.43</v>
      </c>
      <c r="V33">
        <v>178.54</v>
      </c>
      <c r="W33">
        <v>190.41</v>
      </c>
      <c r="X33">
        <v>200.65</v>
      </c>
      <c r="Y33">
        <v>209.66</v>
      </c>
    </row>
    <row r="34" spans="1:25" x14ac:dyDescent="0.3">
      <c r="A34">
        <v>145</v>
      </c>
      <c r="B34">
        <v>135.87</v>
      </c>
      <c r="C34">
        <v>124.5</v>
      </c>
      <c r="D34">
        <v>109.46</v>
      </c>
      <c r="E34">
        <v>96.29</v>
      </c>
      <c r="F34">
        <v>83.55</v>
      </c>
      <c r="G34">
        <v>71.66</v>
      </c>
      <c r="H34">
        <v>60.56</v>
      </c>
      <c r="I34">
        <v>49.89</v>
      </c>
      <c r="J34">
        <v>38.979999999999997</v>
      </c>
      <c r="K34">
        <v>28.5</v>
      </c>
      <c r="L34">
        <v>18.66</v>
      </c>
      <c r="N34">
        <v>145</v>
      </c>
      <c r="O34">
        <v>0</v>
      </c>
      <c r="P34">
        <v>35.700000000000003</v>
      </c>
      <c r="Q34">
        <v>67.459999999999994</v>
      </c>
      <c r="R34">
        <v>93.51</v>
      </c>
      <c r="S34">
        <v>116.69</v>
      </c>
      <c r="T34">
        <v>136.03</v>
      </c>
      <c r="U34">
        <v>151.80000000000001</v>
      </c>
      <c r="V34">
        <v>165.84</v>
      </c>
      <c r="W34">
        <v>176.73</v>
      </c>
      <c r="X34">
        <v>187.17</v>
      </c>
      <c r="Y34">
        <v>196.58</v>
      </c>
    </row>
    <row r="35" spans="1:25" x14ac:dyDescent="0.3">
      <c r="A35">
        <v>150</v>
      </c>
      <c r="B35">
        <v>135.87</v>
      </c>
      <c r="C35">
        <v>123.35</v>
      </c>
      <c r="D35">
        <v>107.51</v>
      </c>
      <c r="E35">
        <v>92.79</v>
      </c>
      <c r="F35">
        <v>79.209999999999994</v>
      </c>
      <c r="G35">
        <v>66.709999999999994</v>
      </c>
      <c r="H35">
        <v>54.73</v>
      </c>
      <c r="I35">
        <v>42.93</v>
      </c>
      <c r="J35">
        <v>31.41</v>
      </c>
      <c r="K35">
        <v>20.260000000000002</v>
      </c>
      <c r="L35">
        <v>9.19</v>
      </c>
      <c r="N35">
        <v>150</v>
      </c>
      <c r="O35">
        <v>0</v>
      </c>
      <c r="P35">
        <v>32.47</v>
      </c>
      <c r="Q35">
        <v>59.2</v>
      </c>
      <c r="R35">
        <v>83.85</v>
      </c>
      <c r="S35">
        <v>104.52</v>
      </c>
      <c r="T35">
        <v>122.49</v>
      </c>
      <c r="U35">
        <v>137.31</v>
      </c>
      <c r="V35">
        <v>150.1</v>
      </c>
      <c r="W35">
        <v>161.03</v>
      </c>
      <c r="X35">
        <v>170.97</v>
      </c>
      <c r="Y35">
        <v>180.04</v>
      </c>
    </row>
    <row r="36" spans="1:25" x14ac:dyDescent="0.3">
      <c r="A36">
        <v>155</v>
      </c>
      <c r="B36">
        <v>135.87</v>
      </c>
      <c r="C36">
        <v>121.99</v>
      </c>
      <c r="D36">
        <v>105.84</v>
      </c>
      <c r="E36">
        <v>90.7</v>
      </c>
      <c r="F36">
        <v>76.05</v>
      </c>
      <c r="G36">
        <v>62.6</v>
      </c>
      <c r="H36">
        <v>49.41</v>
      </c>
      <c r="I36">
        <v>36.5</v>
      </c>
      <c r="J36">
        <v>24.36</v>
      </c>
      <c r="K36">
        <v>12.24</v>
      </c>
      <c r="L36">
        <v>0.51</v>
      </c>
      <c r="N36">
        <v>155</v>
      </c>
      <c r="O36">
        <v>0</v>
      </c>
      <c r="P36">
        <v>28.67</v>
      </c>
      <c r="Q36">
        <v>51.69</v>
      </c>
      <c r="R36">
        <v>73.19</v>
      </c>
      <c r="S36">
        <v>91.06</v>
      </c>
      <c r="T36">
        <v>106.53</v>
      </c>
      <c r="U36">
        <v>119.72</v>
      </c>
      <c r="V36">
        <v>131.51</v>
      </c>
      <c r="W36">
        <v>142.34</v>
      </c>
      <c r="X36">
        <v>151.63999999999999</v>
      </c>
      <c r="Y36">
        <v>159.79</v>
      </c>
    </row>
    <row r="37" spans="1:25" x14ac:dyDescent="0.3">
      <c r="A37">
        <v>160</v>
      </c>
      <c r="B37">
        <v>135.87</v>
      </c>
      <c r="C37">
        <v>121.43</v>
      </c>
      <c r="D37">
        <v>104.69</v>
      </c>
      <c r="E37">
        <v>88.56</v>
      </c>
      <c r="F37">
        <v>72.81</v>
      </c>
      <c r="G37">
        <v>58.49</v>
      </c>
      <c r="H37">
        <v>44.61</v>
      </c>
      <c r="I37">
        <v>31.12</v>
      </c>
      <c r="J37">
        <v>17.989999999999998</v>
      </c>
      <c r="K37">
        <v>5.21</v>
      </c>
      <c r="L37">
        <v>-7.37</v>
      </c>
      <c r="N37">
        <v>160</v>
      </c>
      <c r="O37">
        <v>0</v>
      </c>
      <c r="P37">
        <v>24.79</v>
      </c>
      <c r="Q37">
        <v>43.59</v>
      </c>
      <c r="R37">
        <v>59.81</v>
      </c>
      <c r="S37">
        <v>75.66</v>
      </c>
      <c r="T37">
        <v>89.04</v>
      </c>
      <c r="U37">
        <v>100.65</v>
      </c>
      <c r="V37">
        <v>110.69</v>
      </c>
      <c r="W37">
        <v>120.14</v>
      </c>
      <c r="X37">
        <v>128.22</v>
      </c>
      <c r="Y37">
        <v>135.16</v>
      </c>
    </row>
    <row r="38" spans="1:25" x14ac:dyDescent="0.3">
      <c r="A38">
        <v>165</v>
      </c>
      <c r="B38">
        <v>135.87</v>
      </c>
      <c r="C38">
        <v>120.18</v>
      </c>
      <c r="D38">
        <v>103.17</v>
      </c>
      <c r="E38">
        <v>86.5</v>
      </c>
      <c r="F38">
        <v>70.16</v>
      </c>
      <c r="G38">
        <v>54.91</v>
      </c>
      <c r="H38">
        <v>40.39</v>
      </c>
      <c r="I38">
        <v>25.87</v>
      </c>
      <c r="J38">
        <v>12.28</v>
      </c>
      <c r="K38">
        <v>-0.9</v>
      </c>
      <c r="L38">
        <v>-14.14</v>
      </c>
      <c r="N38">
        <v>165</v>
      </c>
      <c r="O38">
        <v>0</v>
      </c>
      <c r="P38">
        <v>20.170000000000002</v>
      </c>
      <c r="Q38">
        <v>34.03</v>
      </c>
      <c r="R38">
        <v>47.55</v>
      </c>
      <c r="S38">
        <v>59.29</v>
      </c>
      <c r="T38">
        <v>69.650000000000006</v>
      </c>
      <c r="U38">
        <v>78.510000000000005</v>
      </c>
      <c r="V38">
        <v>87.11</v>
      </c>
      <c r="W38">
        <v>94.26</v>
      </c>
      <c r="X38">
        <v>100.51</v>
      </c>
      <c r="Y38">
        <v>106.69</v>
      </c>
    </row>
    <row r="39" spans="1:25" x14ac:dyDescent="0.3">
      <c r="A39">
        <v>170</v>
      </c>
      <c r="B39">
        <v>135.87</v>
      </c>
      <c r="C39">
        <v>119.91</v>
      </c>
      <c r="D39">
        <v>102.18</v>
      </c>
      <c r="E39">
        <v>85.43</v>
      </c>
      <c r="F39">
        <v>68.84</v>
      </c>
      <c r="G39">
        <v>52.13</v>
      </c>
      <c r="H39">
        <v>37.130000000000003</v>
      </c>
      <c r="I39">
        <v>22.48</v>
      </c>
      <c r="J39">
        <v>7.9</v>
      </c>
      <c r="K39">
        <v>-5.7</v>
      </c>
      <c r="L39">
        <v>-19.260000000000002</v>
      </c>
      <c r="N39">
        <v>170</v>
      </c>
      <c r="O39">
        <v>0</v>
      </c>
      <c r="P39">
        <v>15.42</v>
      </c>
      <c r="Q39">
        <v>24.91</v>
      </c>
      <c r="R39">
        <v>33.96</v>
      </c>
      <c r="S39">
        <v>42.02</v>
      </c>
      <c r="T39">
        <v>49.45</v>
      </c>
      <c r="U39">
        <v>55.88</v>
      </c>
      <c r="V39">
        <v>61.22</v>
      </c>
      <c r="W39">
        <v>66.45</v>
      </c>
      <c r="X39">
        <v>70.94</v>
      </c>
      <c r="Y39">
        <v>74.83</v>
      </c>
    </row>
    <row r="40" spans="1:25" x14ac:dyDescent="0.3">
      <c r="A40">
        <v>175</v>
      </c>
      <c r="B40">
        <v>135.87</v>
      </c>
      <c r="C40">
        <v>119.2</v>
      </c>
      <c r="D40">
        <v>101.2</v>
      </c>
      <c r="E40">
        <v>83.98</v>
      </c>
      <c r="F40">
        <v>67.069999999999993</v>
      </c>
      <c r="G40">
        <v>50.82</v>
      </c>
      <c r="H40">
        <v>35.380000000000003</v>
      </c>
      <c r="I40">
        <v>20.25</v>
      </c>
      <c r="J40">
        <v>5.39</v>
      </c>
      <c r="K40">
        <v>-8.99</v>
      </c>
      <c r="L40">
        <v>-22.67</v>
      </c>
      <c r="N40">
        <v>175</v>
      </c>
      <c r="O40">
        <v>0</v>
      </c>
      <c r="P40">
        <v>10.6</v>
      </c>
      <c r="Q40">
        <v>15.95</v>
      </c>
      <c r="R40">
        <v>20.22</v>
      </c>
      <c r="S40">
        <v>24.15</v>
      </c>
      <c r="T40">
        <v>27.81</v>
      </c>
      <c r="U40">
        <v>31.8</v>
      </c>
      <c r="V40">
        <v>34.61</v>
      </c>
      <c r="W40">
        <v>37</v>
      </c>
      <c r="X40">
        <v>38.97</v>
      </c>
      <c r="Y40">
        <v>41.68</v>
      </c>
    </row>
    <row r="41" spans="1:25" x14ac:dyDescent="0.3">
      <c r="A41">
        <v>180</v>
      </c>
      <c r="B41">
        <v>135.87</v>
      </c>
      <c r="C41">
        <v>118.47</v>
      </c>
      <c r="D41">
        <v>100.57</v>
      </c>
      <c r="E41">
        <v>83.25</v>
      </c>
      <c r="F41">
        <v>66.540000000000006</v>
      </c>
      <c r="G41">
        <v>49.89</v>
      </c>
      <c r="H41">
        <v>34.06</v>
      </c>
      <c r="I41">
        <v>18.93</v>
      </c>
      <c r="J41">
        <v>4.18</v>
      </c>
      <c r="K41">
        <v>-10.31</v>
      </c>
      <c r="L41">
        <v>-23.99</v>
      </c>
      <c r="N41">
        <v>180</v>
      </c>
      <c r="O41">
        <v>0</v>
      </c>
      <c r="P41">
        <v>6.2</v>
      </c>
      <c r="Q41">
        <v>6.16</v>
      </c>
      <c r="R41">
        <v>6.56</v>
      </c>
      <c r="S41">
        <v>6.2</v>
      </c>
      <c r="T41">
        <v>6.42</v>
      </c>
      <c r="U41">
        <v>6.28</v>
      </c>
      <c r="V41">
        <v>6.12</v>
      </c>
      <c r="W41">
        <v>6.32</v>
      </c>
      <c r="X41">
        <v>6.28</v>
      </c>
      <c r="Y41">
        <v>6.51</v>
      </c>
    </row>
    <row r="43" spans="1:25" x14ac:dyDescent="0.3">
      <c r="A43">
        <v>90</v>
      </c>
      <c r="B43">
        <f>B2-B23</f>
        <v>-0.81999999999999318</v>
      </c>
      <c r="C43">
        <f t="shared" ref="C43:L43" si="2">C2-C23</f>
        <v>-7.1700000000000159</v>
      </c>
      <c r="D43">
        <f t="shared" si="2"/>
        <v>-6.7700000000000102</v>
      </c>
      <c r="E43">
        <f t="shared" si="2"/>
        <v>-5.5400000000000205</v>
      </c>
      <c r="F43">
        <f t="shared" si="2"/>
        <v>-5.5</v>
      </c>
      <c r="G43">
        <f t="shared" si="2"/>
        <v>-6.0900000000000034</v>
      </c>
      <c r="H43">
        <f t="shared" si="2"/>
        <v>-6.1099999999999994</v>
      </c>
      <c r="I43">
        <f t="shared" si="2"/>
        <v>-5.8600000000000136</v>
      </c>
      <c r="J43">
        <f t="shared" si="2"/>
        <v>-5.480000000000004</v>
      </c>
      <c r="K43">
        <f t="shared" si="2"/>
        <v>-4.0400000000000063</v>
      </c>
      <c r="L43">
        <f t="shared" si="2"/>
        <v>-3.6700000000000017</v>
      </c>
      <c r="O43">
        <f>O2-O23</f>
        <v>0.02</v>
      </c>
      <c r="P43">
        <f t="shared" ref="P43:X43" si="3">P2-P23</f>
        <v>126.13999999999999</v>
      </c>
      <c r="Q43">
        <f t="shared" si="3"/>
        <v>212.02</v>
      </c>
      <c r="R43">
        <f t="shared" si="3"/>
        <v>252.31000000000003</v>
      </c>
      <c r="S43">
        <f t="shared" si="3"/>
        <v>279.27999999999997</v>
      </c>
      <c r="T43">
        <f t="shared" si="3"/>
        <v>303.37</v>
      </c>
      <c r="U43">
        <f t="shared" si="3"/>
        <v>321.79000000000002</v>
      </c>
      <c r="V43">
        <f t="shared" si="3"/>
        <v>339.57</v>
      </c>
      <c r="W43">
        <f t="shared" si="3"/>
        <v>355.40999999999997</v>
      </c>
      <c r="X43">
        <f t="shared" si="3"/>
        <v>375.20000000000005</v>
      </c>
      <c r="Y43">
        <f>Y2-Y23</f>
        <v>395.29</v>
      </c>
    </row>
    <row r="44" spans="1:25" x14ac:dyDescent="0.3">
      <c r="A44">
        <v>95</v>
      </c>
      <c r="B44">
        <f t="shared" ref="B44:L44" si="4">B3-B24</f>
        <v>-0.81999999999999318</v>
      </c>
      <c r="C44">
        <f t="shared" si="4"/>
        <v>-6.6999999999999886</v>
      </c>
      <c r="D44">
        <f t="shared" si="4"/>
        <v>-6.4899999999999807</v>
      </c>
      <c r="E44">
        <f t="shared" si="4"/>
        <v>-6.210000000000008</v>
      </c>
      <c r="F44">
        <f t="shared" si="4"/>
        <v>-6.4399999999999977</v>
      </c>
      <c r="G44">
        <f t="shared" si="4"/>
        <v>-6.6599999999999966</v>
      </c>
      <c r="H44">
        <f t="shared" si="4"/>
        <v>-6.480000000000004</v>
      </c>
      <c r="I44">
        <f t="shared" si="4"/>
        <v>-5.7999999999999972</v>
      </c>
      <c r="J44">
        <f t="shared" si="4"/>
        <v>-5.730000000000004</v>
      </c>
      <c r="K44">
        <f t="shared" si="4"/>
        <v>-5.1699999999999875</v>
      </c>
      <c r="L44">
        <f t="shared" si="4"/>
        <v>-4.6499999999999915</v>
      </c>
      <c r="O44">
        <f t="shared" ref="O44:Y44" si="5">O3-O24</f>
        <v>0.02</v>
      </c>
      <c r="P44">
        <f t="shared" si="5"/>
        <v>125.21000000000001</v>
      </c>
      <c r="Q44">
        <f t="shared" si="5"/>
        <v>212.46</v>
      </c>
      <c r="R44">
        <f t="shared" si="5"/>
        <v>252.63</v>
      </c>
      <c r="S44">
        <f t="shared" si="5"/>
        <v>279.98</v>
      </c>
      <c r="T44">
        <f t="shared" si="5"/>
        <v>304.59000000000003</v>
      </c>
      <c r="U44">
        <f t="shared" si="5"/>
        <v>325.26000000000005</v>
      </c>
      <c r="V44">
        <f t="shared" si="5"/>
        <v>343.58</v>
      </c>
      <c r="W44">
        <f t="shared" si="5"/>
        <v>359.57000000000005</v>
      </c>
      <c r="X44">
        <f t="shared" si="5"/>
        <v>379.22</v>
      </c>
      <c r="Y44">
        <f t="shared" si="5"/>
        <v>399.51999999999992</v>
      </c>
    </row>
    <row r="45" spans="1:25" x14ac:dyDescent="0.3">
      <c r="A45">
        <v>100</v>
      </c>
      <c r="B45">
        <f t="shared" ref="B45:L45" si="6">B4-B25</f>
        <v>-0.81999999999999318</v>
      </c>
      <c r="C45">
        <f t="shared" si="6"/>
        <v>-6.4899999999999807</v>
      </c>
      <c r="D45">
        <f t="shared" si="6"/>
        <v>-6.3300000000000125</v>
      </c>
      <c r="E45">
        <f t="shared" si="6"/>
        <v>-5.7799999999999869</v>
      </c>
      <c r="F45">
        <f t="shared" si="6"/>
        <v>-6.25</v>
      </c>
      <c r="G45">
        <f t="shared" si="6"/>
        <v>-6.5099999999999909</v>
      </c>
      <c r="H45">
        <f t="shared" si="6"/>
        <v>-7.3299999999999983</v>
      </c>
      <c r="I45">
        <f t="shared" si="6"/>
        <v>-6.5699999999999932</v>
      </c>
      <c r="J45">
        <f t="shared" si="6"/>
        <v>-6.3599999999999994</v>
      </c>
      <c r="K45">
        <f t="shared" si="6"/>
        <v>-6.25</v>
      </c>
      <c r="L45">
        <f t="shared" si="6"/>
        <v>-6.2299999999999898</v>
      </c>
      <c r="O45">
        <f t="shared" ref="O45:Y45" si="7">O4-O25</f>
        <v>0.02</v>
      </c>
      <c r="P45">
        <f t="shared" si="7"/>
        <v>122.83</v>
      </c>
      <c r="Q45">
        <f t="shared" si="7"/>
        <v>211.76</v>
      </c>
      <c r="R45">
        <f t="shared" si="7"/>
        <v>251.91000000000003</v>
      </c>
      <c r="S45">
        <f t="shared" si="7"/>
        <v>279.62</v>
      </c>
      <c r="T45">
        <f t="shared" si="7"/>
        <v>304.54000000000002</v>
      </c>
      <c r="U45">
        <f t="shared" si="7"/>
        <v>327.45000000000005</v>
      </c>
      <c r="V45">
        <f t="shared" si="7"/>
        <v>345.31999999999994</v>
      </c>
      <c r="W45">
        <f t="shared" si="7"/>
        <v>361.19999999999993</v>
      </c>
      <c r="X45">
        <f t="shared" si="7"/>
        <v>380.26000000000005</v>
      </c>
      <c r="Y45">
        <f t="shared" si="7"/>
        <v>400.63</v>
      </c>
    </row>
    <row r="46" spans="1:25" x14ac:dyDescent="0.3">
      <c r="A46">
        <v>105</v>
      </c>
      <c r="B46">
        <f t="shared" ref="B46:L46" si="8">B5-B26</f>
        <v>-0.81999999999999318</v>
      </c>
      <c r="C46">
        <f t="shared" si="8"/>
        <v>-6.1699999999999875</v>
      </c>
      <c r="D46">
        <f t="shared" si="8"/>
        <v>-6.019999999999996</v>
      </c>
      <c r="E46">
        <f t="shared" si="8"/>
        <v>-5.5300000000000011</v>
      </c>
      <c r="F46">
        <f t="shared" si="8"/>
        <v>-6</v>
      </c>
      <c r="G46">
        <f t="shared" si="8"/>
        <v>-6.4899999999999949</v>
      </c>
      <c r="H46">
        <f t="shared" si="8"/>
        <v>-6.8299999999999983</v>
      </c>
      <c r="I46">
        <f t="shared" si="8"/>
        <v>-7.1799999999999926</v>
      </c>
      <c r="J46">
        <f t="shared" si="8"/>
        <v>-7.4200000000000017</v>
      </c>
      <c r="K46">
        <f t="shared" si="8"/>
        <v>-7.269999999999996</v>
      </c>
      <c r="L46">
        <f t="shared" si="8"/>
        <v>-7.7800000000000011</v>
      </c>
      <c r="O46">
        <f t="shared" ref="O46:Y46" si="9">O5-O26</f>
        <v>0.02</v>
      </c>
      <c r="P46">
        <f t="shared" si="9"/>
        <v>120.26</v>
      </c>
      <c r="Q46">
        <f t="shared" si="9"/>
        <v>210.18</v>
      </c>
      <c r="R46">
        <f t="shared" si="9"/>
        <v>250.87000000000003</v>
      </c>
      <c r="S46">
        <f t="shared" si="9"/>
        <v>278.33999999999997</v>
      </c>
      <c r="T46">
        <f t="shared" si="9"/>
        <v>303.69000000000005</v>
      </c>
      <c r="U46">
        <f t="shared" si="9"/>
        <v>327.30999999999995</v>
      </c>
      <c r="V46">
        <f t="shared" si="9"/>
        <v>344.67999999999995</v>
      </c>
      <c r="W46">
        <f t="shared" si="9"/>
        <v>362.13</v>
      </c>
      <c r="X46">
        <f t="shared" si="9"/>
        <v>379.11</v>
      </c>
      <c r="Y46">
        <f t="shared" si="9"/>
        <v>398.36</v>
      </c>
    </row>
    <row r="47" spans="1:25" x14ac:dyDescent="0.3">
      <c r="A47">
        <v>110</v>
      </c>
      <c r="B47">
        <f t="shared" ref="B47:L47" si="10">B6-B27</f>
        <v>-0.81999999999999318</v>
      </c>
      <c r="C47">
        <f t="shared" si="10"/>
        <v>-6.0600000000000023</v>
      </c>
      <c r="D47">
        <f t="shared" si="10"/>
        <v>-5.5600000000000165</v>
      </c>
      <c r="E47">
        <f t="shared" si="10"/>
        <v>-5.3599999999999994</v>
      </c>
      <c r="F47">
        <f t="shared" si="10"/>
        <v>-5.7199999999999989</v>
      </c>
      <c r="G47">
        <f t="shared" si="10"/>
        <v>-6.6299999999999955</v>
      </c>
      <c r="H47">
        <f t="shared" si="10"/>
        <v>-6.5999999999999943</v>
      </c>
      <c r="I47">
        <f t="shared" si="10"/>
        <v>-7.3799999999999955</v>
      </c>
      <c r="J47">
        <f t="shared" si="10"/>
        <v>-8.6299999999999955</v>
      </c>
      <c r="K47">
        <f t="shared" si="10"/>
        <v>-8.9299999999999926</v>
      </c>
      <c r="L47">
        <f t="shared" si="10"/>
        <v>-8.8300000000000125</v>
      </c>
      <c r="O47">
        <f t="shared" ref="O47:Y47" si="11">O6-O27</f>
        <v>0.02</v>
      </c>
      <c r="P47">
        <f t="shared" si="11"/>
        <v>115.47</v>
      </c>
      <c r="Q47">
        <f t="shared" si="11"/>
        <v>207.34999999999997</v>
      </c>
      <c r="R47">
        <f t="shared" si="11"/>
        <v>248.67999999999998</v>
      </c>
      <c r="S47">
        <f t="shared" si="11"/>
        <v>276.3</v>
      </c>
      <c r="T47">
        <f t="shared" si="11"/>
        <v>301.65999999999997</v>
      </c>
      <c r="U47">
        <f t="shared" si="11"/>
        <v>325.58999999999997</v>
      </c>
      <c r="V47">
        <f t="shared" si="11"/>
        <v>344.04999999999995</v>
      </c>
      <c r="W47">
        <f t="shared" si="11"/>
        <v>360.38</v>
      </c>
      <c r="X47">
        <f t="shared" si="11"/>
        <v>377.01</v>
      </c>
      <c r="Y47">
        <f t="shared" si="11"/>
        <v>394.83000000000004</v>
      </c>
    </row>
    <row r="48" spans="1:25" x14ac:dyDescent="0.3">
      <c r="A48">
        <v>115</v>
      </c>
      <c r="B48">
        <f t="shared" ref="B48:L48" si="12">B7-B28</f>
        <v>-0.81999999999999318</v>
      </c>
      <c r="C48">
        <f t="shared" si="12"/>
        <v>-5.6099999999999852</v>
      </c>
      <c r="D48">
        <f t="shared" si="12"/>
        <v>-5.5400000000000063</v>
      </c>
      <c r="E48">
        <f t="shared" si="12"/>
        <v>-5.3900000000000006</v>
      </c>
      <c r="F48">
        <f t="shared" si="12"/>
        <v>-5.6299999999999955</v>
      </c>
      <c r="G48">
        <f t="shared" si="12"/>
        <v>-6.5100000000000051</v>
      </c>
      <c r="H48">
        <f t="shared" si="12"/>
        <v>-7.1200000000000045</v>
      </c>
      <c r="I48">
        <f t="shared" si="12"/>
        <v>-7.1799999999999926</v>
      </c>
      <c r="J48">
        <f t="shared" si="12"/>
        <v>-9.210000000000008</v>
      </c>
      <c r="K48">
        <f t="shared" si="12"/>
        <v>-9.4099999999999966</v>
      </c>
      <c r="L48">
        <f t="shared" si="12"/>
        <v>-9.710000000000008</v>
      </c>
      <c r="O48">
        <f t="shared" ref="O48:Y48" si="13">O7-O28</f>
        <v>0.02</v>
      </c>
      <c r="P48">
        <f t="shared" si="13"/>
        <v>111.46000000000001</v>
      </c>
      <c r="Q48">
        <f t="shared" si="13"/>
        <v>203.29000000000002</v>
      </c>
      <c r="R48">
        <f t="shared" si="13"/>
        <v>246.18000000000004</v>
      </c>
      <c r="S48">
        <f t="shared" si="13"/>
        <v>273.38</v>
      </c>
      <c r="T48">
        <f t="shared" si="13"/>
        <v>298.93999999999994</v>
      </c>
      <c r="U48">
        <f t="shared" si="13"/>
        <v>321.86</v>
      </c>
      <c r="V48">
        <f t="shared" si="13"/>
        <v>341.92000000000007</v>
      </c>
      <c r="W48">
        <f t="shared" si="13"/>
        <v>356.97</v>
      </c>
      <c r="X48">
        <f t="shared" si="13"/>
        <v>372.61999999999995</v>
      </c>
      <c r="Y48">
        <f t="shared" si="13"/>
        <v>389.41000000000008</v>
      </c>
    </row>
    <row r="49" spans="1:25" x14ac:dyDescent="0.3">
      <c r="A49">
        <v>120</v>
      </c>
      <c r="B49">
        <f t="shared" ref="B49:L49" si="14">B8-B29</f>
        <v>-0.81999999999999318</v>
      </c>
      <c r="C49">
        <f t="shared" si="14"/>
        <v>-5.6600000000000108</v>
      </c>
      <c r="D49">
        <f t="shared" si="14"/>
        <v>-5.1800000000000068</v>
      </c>
      <c r="E49">
        <f t="shared" si="14"/>
        <v>-5.5699999999999932</v>
      </c>
      <c r="F49">
        <f t="shared" si="14"/>
        <v>-5.6200000000000045</v>
      </c>
      <c r="G49">
        <f t="shared" si="14"/>
        <v>-6.5599999999999881</v>
      </c>
      <c r="H49">
        <f t="shared" si="14"/>
        <v>-7</v>
      </c>
      <c r="I49">
        <f t="shared" si="14"/>
        <v>-7.5</v>
      </c>
      <c r="J49">
        <f t="shared" si="14"/>
        <v>-8.6499999999999915</v>
      </c>
      <c r="K49">
        <f t="shared" si="14"/>
        <v>-10.230000000000004</v>
      </c>
      <c r="L49">
        <f t="shared" si="14"/>
        <v>-10.36</v>
      </c>
      <c r="O49">
        <f t="shared" ref="O49:Y49" si="15">O8-O29</f>
        <v>0.02</v>
      </c>
      <c r="P49">
        <f t="shared" si="15"/>
        <v>105.30000000000001</v>
      </c>
      <c r="Q49">
        <f t="shared" si="15"/>
        <v>195.77000000000004</v>
      </c>
      <c r="R49">
        <f t="shared" si="15"/>
        <v>241.43000000000004</v>
      </c>
      <c r="S49">
        <f t="shared" si="15"/>
        <v>268.89</v>
      </c>
      <c r="T49">
        <f t="shared" si="15"/>
        <v>294.48</v>
      </c>
      <c r="U49">
        <f t="shared" si="15"/>
        <v>317.44999999999993</v>
      </c>
      <c r="V49">
        <f t="shared" si="15"/>
        <v>337.04000000000008</v>
      </c>
      <c r="W49">
        <f t="shared" si="15"/>
        <v>352.44000000000005</v>
      </c>
      <c r="X49">
        <f t="shared" si="15"/>
        <v>367.66</v>
      </c>
      <c r="Y49">
        <f t="shared" si="15"/>
        <v>381.18</v>
      </c>
    </row>
    <row r="50" spans="1:25" x14ac:dyDescent="0.3">
      <c r="A50">
        <v>125</v>
      </c>
      <c r="B50">
        <f t="shared" ref="B50:L50" si="16">B9-B30</f>
        <v>-0.81999999999999318</v>
      </c>
      <c r="C50">
        <f t="shared" si="16"/>
        <v>-4.8400000000000176</v>
      </c>
      <c r="D50">
        <f t="shared" si="16"/>
        <v>-5.0899999999999892</v>
      </c>
      <c r="E50">
        <f t="shared" si="16"/>
        <v>-5.0300000000000011</v>
      </c>
      <c r="F50">
        <f t="shared" si="16"/>
        <v>-5.3299999999999983</v>
      </c>
      <c r="G50">
        <f t="shared" si="16"/>
        <v>-6.1500000000000057</v>
      </c>
      <c r="H50">
        <f t="shared" si="16"/>
        <v>-6.710000000000008</v>
      </c>
      <c r="I50">
        <f t="shared" si="16"/>
        <v>-7.3299999999999983</v>
      </c>
      <c r="J50">
        <f t="shared" si="16"/>
        <v>-7.9400000000000048</v>
      </c>
      <c r="K50">
        <f t="shared" si="16"/>
        <v>-9.9599999999999937</v>
      </c>
      <c r="L50">
        <f t="shared" si="16"/>
        <v>-11.299999999999997</v>
      </c>
      <c r="O50">
        <f t="shared" ref="O50:Y50" si="17">O9-O30</f>
        <v>0.02</v>
      </c>
      <c r="P50">
        <f t="shared" si="17"/>
        <v>99.560000000000016</v>
      </c>
      <c r="Q50">
        <f t="shared" si="17"/>
        <v>187.31</v>
      </c>
      <c r="R50">
        <f t="shared" si="17"/>
        <v>237.07999999999998</v>
      </c>
      <c r="S50">
        <f t="shared" si="17"/>
        <v>263.77</v>
      </c>
      <c r="T50">
        <f t="shared" si="17"/>
        <v>288.78999999999996</v>
      </c>
      <c r="U50">
        <f t="shared" si="17"/>
        <v>311.36</v>
      </c>
      <c r="V50">
        <f t="shared" si="17"/>
        <v>330.04999999999995</v>
      </c>
      <c r="W50">
        <f t="shared" si="17"/>
        <v>346.46000000000004</v>
      </c>
      <c r="X50">
        <f t="shared" si="17"/>
        <v>359.31</v>
      </c>
      <c r="Y50">
        <f t="shared" si="17"/>
        <v>372.07000000000005</v>
      </c>
    </row>
    <row r="51" spans="1:25" x14ac:dyDescent="0.3">
      <c r="A51">
        <v>130</v>
      </c>
      <c r="B51">
        <f t="shared" ref="B51:L51" si="18">B10-B31</f>
        <v>-0.81999999999999318</v>
      </c>
      <c r="C51">
        <f t="shared" si="18"/>
        <v>-4.9699999999999989</v>
      </c>
      <c r="D51">
        <f t="shared" si="18"/>
        <v>-4.710000000000008</v>
      </c>
      <c r="E51">
        <f t="shared" si="18"/>
        <v>-4.2400000000000091</v>
      </c>
      <c r="F51">
        <f t="shared" si="18"/>
        <v>-4.7999999999999972</v>
      </c>
      <c r="G51">
        <f t="shared" si="18"/>
        <v>-5.7199999999999989</v>
      </c>
      <c r="H51">
        <f t="shared" si="18"/>
        <v>-6.5699999999999932</v>
      </c>
      <c r="I51">
        <f t="shared" si="18"/>
        <v>-6.9699999999999989</v>
      </c>
      <c r="J51">
        <f t="shared" si="18"/>
        <v>-7.5599999999999952</v>
      </c>
      <c r="K51">
        <f t="shared" si="18"/>
        <v>-8.8300000000000054</v>
      </c>
      <c r="L51">
        <f t="shared" si="18"/>
        <v>-10.600000000000001</v>
      </c>
      <c r="O51">
        <f t="shared" ref="O51:Y51" si="19">O10-O31</f>
        <v>0.02</v>
      </c>
      <c r="P51">
        <f t="shared" si="19"/>
        <v>91.830000000000013</v>
      </c>
      <c r="Q51">
        <f t="shared" si="19"/>
        <v>175.95999999999998</v>
      </c>
      <c r="R51">
        <f t="shared" si="19"/>
        <v>229.72000000000003</v>
      </c>
      <c r="S51">
        <f t="shared" si="19"/>
        <v>256.83999999999997</v>
      </c>
      <c r="T51">
        <f t="shared" si="19"/>
        <v>281.78999999999996</v>
      </c>
      <c r="U51">
        <f t="shared" si="19"/>
        <v>303.88</v>
      </c>
      <c r="V51">
        <f t="shared" si="19"/>
        <v>321.75000000000006</v>
      </c>
      <c r="W51">
        <f t="shared" si="19"/>
        <v>336.53999999999996</v>
      </c>
      <c r="X51">
        <f t="shared" si="19"/>
        <v>350.45000000000005</v>
      </c>
      <c r="Y51">
        <f t="shared" si="19"/>
        <v>360.04999999999995</v>
      </c>
    </row>
    <row r="52" spans="1:25" x14ac:dyDescent="0.3">
      <c r="A52">
        <v>135</v>
      </c>
      <c r="B52">
        <f t="shared" ref="B52:L52" si="20">B11-B32</f>
        <v>-0.81999999999999318</v>
      </c>
      <c r="C52">
        <f t="shared" si="20"/>
        <v>-4.3700000000000045</v>
      </c>
      <c r="D52">
        <f t="shared" si="20"/>
        <v>-3.4100000000000108</v>
      </c>
      <c r="E52">
        <f t="shared" si="20"/>
        <v>-4.0699999999999932</v>
      </c>
      <c r="F52">
        <f t="shared" si="20"/>
        <v>-4.5700000000000074</v>
      </c>
      <c r="G52">
        <f t="shared" si="20"/>
        <v>-5.5400000000000063</v>
      </c>
      <c r="H52">
        <f t="shared" si="20"/>
        <v>-6.4000000000000057</v>
      </c>
      <c r="I52">
        <f t="shared" si="20"/>
        <v>-6.7800000000000082</v>
      </c>
      <c r="J52">
        <f t="shared" si="20"/>
        <v>-7.43</v>
      </c>
      <c r="K52">
        <f t="shared" si="20"/>
        <v>-8.14</v>
      </c>
      <c r="L52">
        <f t="shared" si="20"/>
        <v>-9.4499999999999957</v>
      </c>
      <c r="O52">
        <f t="shared" ref="O52:Y52" si="21">O11-O32</f>
        <v>0.02</v>
      </c>
      <c r="P52">
        <f t="shared" si="21"/>
        <v>84.42</v>
      </c>
      <c r="Q52">
        <f t="shared" si="21"/>
        <v>164.01000000000002</v>
      </c>
      <c r="R52">
        <f t="shared" si="21"/>
        <v>219.37</v>
      </c>
      <c r="S52">
        <f t="shared" si="21"/>
        <v>248.76999999999998</v>
      </c>
      <c r="T52">
        <f t="shared" si="21"/>
        <v>272.36</v>
      </c>
      <c r="U52">
        <f t="shared" si="21"/>
        <v>293.89999999999998</v>
      </c>
      <c r="V52">
        <f t="shared" si="21"/>
        <v>311.46999999999997</v>
      </c>
      <c r="W52">
        <f t="shared" si="21"/>
        <v>325.30000000000007</v>
      </c>
      <c r="X52">
        <f t="shared" si="21"/>
        <v>337.14</v>
      </c>
      <c r="Y52">
        <f t="shared" si="21"/>
        <v>348.9</v>
      </c>
    </row>
    <row r="53" spans="1:25" x14ac:dyDescent="0.3">
      <c r="A53">
        <v>140</v>
      </c>
      <c r="B53">
        <f t="shared" ref="B53:L53" si="22">B12-B33</f>
        <v>-0.81999999999999318</v>
      </c>
      <c r="C53">
        <f t="shared" si="22"/>
        <v>-3.8800000000000097</v>
      </c>
      <c r="D53">
        <f t="shared" si="22"/>
        <v>-3.5400000000000063</v>
      </c>
      <c r="E53">
        <f t="shared" si="22"/>
        <v>-3.7399999999999949</v>
      </c>
      <c r="F53">
        <f t="shared" si="22"/>
        <v>-4.6199999999999903</v>
      </c>
      <c r="G53">
        <f t="shared" si="22"/>
        <v>-5.3900000000000006</v>
      </c>
      <c r="H53">
        <f t="shared" si="22"/>
        <v>-6.1600000000000037</v>
      </c>
      <c r="I53">
        <f t="shared" si="22"/>
        <v>-6.6899999999999977</v>
      </c>
      <c r="J53">
        <f t="shared" si="22"/>
        <v>-7.32</v>
      </c>
      <c r="K53">
        <f t="shared" si="22"/>
        <v>-8.1499999999999986</v>
      </c>
      <c r="L53">
        <f t="shared" si="22"/>
        <v>-9.02</v>
      </c>
      <c r="O53">
        <f t="shared" ref="O53:Y53" si="23">O12-O33</f>
        <v>0.02</v>
      </c>
      <c r="P53">
        <f t="shared" si="23"/>
        <v>76.09</v>
      </c>
      <c r="Q53">
        <f t="shared" si="23"/>
        <v>147.98000000000002</v>
      </c>
      <c r="R53">
        <f t="shared" si="23"/>
        <v>204.55</v>
      </c>
      <c r="S53">
        <f t="shared" si="23"/>
        <v>237.39</v>
      </c>
      <c r="T53">
        <f t="shared" si="23"/>
        <v>261.51</v>
      </c>
      <c r="U53">
        <f t="shared" si="23"/>
        <v>282.11</v>
      </c>
      <c r="V53">
        <f t="shared" si="23"/>
        <v>298.64999999999998</v>
      </c>
      <c r="W53">
        <f t="shared" si="23"/>
        <v>311.53999999999996</v>
      </c>
      <c r="X53">
        <f t="shared" si="23"/>
        <v>321.82000000000005</v>
      </c>
      <c r="Y53">
        <f t="shared" si="23"/>
        <v>331.66000000000008</v>
      </c>
    </row>
    <row r="54" spans="1:25" x14ac:dyDescent="0.3">
      <c r="A54">
        <v>145</v>
      </c>
      <c r="B54">
        <f t="shared" ref="B54:L54" si="24">B13-B34</f>
        <v>-0.81999999999999318</v>
      </c>
      <c r="C54">
        <f t="shared" si="24"/>
        <v>-3.7900000000000063</v>
      </c>
      <c r="D54">
        <f t="shared" si="24"/>
        <v>-2.9599999999999937</v>
      </c>
      <c r="E54">
        <f t="shared" si="24"/>
        <v>-3.3900000000000006</v>
      </c>
      <c r="F54">
        <f t="shared" si="24"/>
        <v>-3.7000000000000028</v>
      </c>
      <c r="G54">
        <f t="shared" si="24"/>
        <v>-4.5099999999999909</v>
      </c>
      <c r="H54">
        <f t="shared" si="24"/>
        <v>-5.7600000000000051</v>
      </c>
      <c r="I54">
        <f t="shared" si="24"/>
        <v>-6.93</v>
      </c>
      <c r="J54">
        <f t="shared" si="24"/>
        <v>-7.2999999999999972</v>
      </c>
      <c r="K54">
        <f t="shared" si="24"/>
        <v>-7.8999999999999986</v>
      </c>
      <c r="L54">
        <f t="shared" si="24"/>
        <v>-9.0400000000000009</v>
      </c>
      <c r="O54">
        <f t="shared" ref="O54:Y54" si="25">O13-O34</f>
        <v>0.02</v>
      </c>
      <c r="P54">
        <f t="shared" si="25"/>
        <v>68</v>
      </c>
      <c r="Q54">
        <f t="shared" si="25"/>
        <v>131.20999999999998</v>
      </c>
      <c r="R54">
        <f t="shared" si="25"/>
        <v>186.93</v>
      </c>
      <c r="S54">
        <f t="shared" si="25"/>
        <v>219.75</v>
      </c>
      <c r="T54">
        <f t="shared" si="25"/>
        <v>244.29999999999998</v>
      </c>
      <c r="U54">
        <f t="shared" si="25"/>
        <v>266.2</v>
      </c>
      <c r="V54">
        <f t="shared" si="25"/>
        <v>282.89</v>
      </c>
      <c r="W54">
        <f t="shared" si="25"/>
        <v>296.31000000000006</v>
      </c>
      <c r="X54">
        <f t="shared" si="25"/>
        <v>305.52999999999997</v>
      </c>
      <c r="Y54">
        <f t="shared" si="25"/>
        <v>313.81999999999994</v>
      </c>
    </row>
    <row r="55" spans="1:25" x14ac:dyDescent="0.3">
      <c r="A55">
        <v>150</v>
      </c>
      <c r="B55">
        <f t="shared" ref="B55:L55" si="26">B14-B35</f>
        <v>-0.81999999999999318</v>
      </c>
      <c r="C55">
        <f t="shared" si="26"/>
        <v>-3.4599999999999937</v>
      </c>
      <c r="D55">
        <f t="shared" si="26"/>
        <v>-2.6700000000000017</v>
      </c>
      <c r="E55">
        <f t="shared" si="26"/>
        <v>-2.4400000000000119</v>
      </c>
      <c r="F55">
        <f t="shared" si="26"/>
        <v>-2.8199999999999932</v>
      </c>
      <c r="G55">
        <f t="shared" si="26"/>
        <v>-3.9399999999999906</v>
      </c>
      <c r="H55">
        <f t="shared" si="26"/>
        <v>-5.259999999999998</v>
      </c>
      <c r="I55">
        <f t="shared" si="26"/>
        <v>-6.3900000000000006</v>
      </c>
      <c r="J55">
        <f t="shared" si="26"/>
        <v>-7.25</v>
      </c>
      <c r="K55">
        <f t="shared" si="26"/>
        <v>-8.1100000000000012</v>
      </c>
      <c r="L55">
        <f t="shared" si="26"/>
        <v>-8.84</v>
      </c>
      <c r="O55">
        <f t="shared" ref="O55:Y55" si="27">O14-O35</f>
        <v>0.02</v>
      </c>
      <c r="P55">
        <f t="shared" si="27"/>
        <v>58.040000000000006</v>
      </c>
      <c r="Q55">
        <f t="shared" si="27"/>
        <v>114.55999999999999</v>
      </c>
      <c r="R55">
        <f t="shared" si="27"/>
        <v>164.15</v>
      </c>
      <c r="S55">
        <f t="shared" si="27"/>
        <v>198.71000000000004</v>
      </c>
      <c r="T55">
        <f t="shared" si="27"/>
        <v>220.95999999999998</v>
      </c>
      <c r="U55">
        <f t="shared" si="27"/>
        <v>241.3</v>
      </c>
      <c r="V55">
        <f t="shared" si="27"/>
        <v>259.59000000000003</v>
      </c>
      <c r="W55">
        <f t="shared" si="27"/>
        <v>274.39</v>
      </c>
      <c r="X55">
        <f t="shared" si="27"/>
        <v>285.14999999999998</v>
      </c>
      <c r="Y55">
        <f t="shared" si="27"/>
        <v>292.87</v>
      </c>
    </row>
    <row r="56" spans="1:25" x14ac:dyDescent="0.3">
      <c r="A56">
        <v>155</v>
      </c>
      <c r="B56">
        <f t="shared" ref="B56:L56" si="28">B15-B36</f>
        <v>-0.81999999999999318</v>
      </c>
      <c r="C56">
        <f t="shared" si="28"/>
        <v>-2.7999999999999972</v>
      </c>
      <c r="D56">
        <f t="shared" si="28"/>
        <v>-2.4200000000000017</v>
      </c>
      <c r="E56">
        <f t="shared" si="28"/>
        <v>-2.5700000000000074</v>
      </c>
      <c r="F56">
        <f t="shared" si="28"/>
        <v>-2.6700000000000017</v>
      </c>
      <c r="G56">
        <f t="shared" si="28"/>
        <v>-3.6400000000000006</v>
      </c>
      <c r="H56">
        <f t="shared" si="28"/>
        <v>-4.5799999999999983</v>
      </c>
      <c r="I56">
        <f t="shared" si="28"/>
        <v>-5.5100000000000016</v>
      </c>
      <c r="J56">
        <f t="shared" si="28"/>
        <v>-6.759999999999998</v>
      </c>
      <c r="K56">
        <f t="shared" si="28"/>
        <v>-7.54</v>
      </c>
      <c r="L56">
        <f t="shared" si="28"/>
        <v>-8.3800000000000008</v>
      </c>
      <c r="O56">
        <f t="shared" ref="O56:Y56" si="29">O15-O36</f>
        <v>0.02</v>
      </c>
      <c r="P56">
        <f t="shared" si="29"/>
        <v>47.95</v>
      </c>
      <c r="Q56">
        <f t="shared" si="29"/>
        <v>95.69</v>
      </c>
      <c r="R56">
        <f t="shared" si="29"/>
        <v>138.44999999999999</v>
      </c>
      <c r="S56">
        <f t="shared" si="29"/>
        <v>174.18</v>
      </c>
      <c r="T56">
        <f t="shared" si="29"/>
        <v>196.48999999999998</v>
      </c>
      <c r="U56">
        <f t="shared" si="29"/>
        <v>214.17999999999998</v>
      </c>
      <c r="V56">
        <f t="shared" si="29"/>
        <v>230.18</v>
      </c>
      <c r="W56">
        <f t="shared" si="29"/>
        <v>245.17</v>
      </c>
      <c r="X56">
        <f t="shared" si="29"/>
        <v>256.76</v>
      </c>
      <c r="Y56">
        <f t="shared" si="29"/>
        <v>263.82000000000005</v>
      </c>
    </row>
    <row r="57" spans="1:25" x14ac:dyDescent="0.3">
      <c r="A57">
        <v>160</v>
      </c>
      <c r="B57">
        <f t="shared" ref="B57:L57" si="30">B16-B37</f>
        <v>-0.81999999999999318</v>
      </c>
      <c r="C57">
        <f t="shared" si="30"/>
        <v>-2.8200000000000074</v>
      </c>
      <c r="D57">
        <f t="shared" si="30"/>
        <v>-2.4500000000000028</v>
      </c>
      <c r="E57">
        <f t="shared" si="30"/>
        <v>-2.2600000000000051</v>
      </c>
      <c r="F57">
        <f t="shared" si="30"/>
        <v>-1.9500000000000028</v>
      </c>
      <c r="G57">
        <f t="shared" si="30"/>
        <v>-2.7000000000000028</v>
      </c>
      <c r="H57">
        <f t="shared" si="30"/>
        <v>-3.5799999999999983</v>
      </c>
      <c r="I57">
        <f t="shared" si="30"/>
        <v>-4.5600000000000023</v>
      </c>
      <c r="J57">
        <f t="shared" si="30"/>
        <v>-5.6399999999999988</v>
      </c>
      <c r="K57">
        <f t="shared" si="30"/>
        <v>-6.72</v>
      </c>
      <c r="L57">
        <f t="shared" si="30"/>
        <v>-7.5200000000000005</v>
      </c>
      <c r="O57">
        <f t="shared" ref="O57:Y57" si="31">O16-O37</f>
        <v>0.02</v>
      </c>
      <c r="P57">
        <f t="shared" si="31"/>
        <v>37.33</v>
      </c>
      <c r="Q57">
        <f t="shared" si="31"/>
        <v>76.16</v>
      </c>
      <c r="R57">
        <f t="shared" si="31"/>
        <v>112.85999999999999</v>
      </c>
      <c r="S57">
        <f t="shared" si="31"/>
        <v>144.85</v>
      </c>
      <c r="T57">
        <f t="shared" si="31"/>
        <v>167.98999999999995</v>
      </c>
      <c r="U57">
        <f t="shared" si="31"/>
        <v>184.18999999999997</v>
      </c>
      <c r="V57">
        <f t="shared" si="31"/>
        <v>198.05</v>
      </c>
      <c r="W57">
        <f t="shared" si="31"/>
        <v>210.91000000000003</v>
      </c>
      <c r="X57">
        <f t="shared" si="31"/>
        <v>223.07000000000002</v>
      </c>
      <c r="Y57">
        <f t="shared" si="31"/>
        <v>230.47</v>
      </c>
    </row>
    <row r="58" spans="1:25" x14ac:dyDescent="0.3">
      <c r="A58">
        <v>165</v>
      </c>
      <c r="B58">
        <f t="shared" ref="B58:L58" si="32">B17-B38</f>
        <v>-0.81999999999999318</v>
      </c>
      <c r="C58">
        <f t="shared" si="32"/>
        <v>-2.0300000000000011</v>
      </c>
      <c r="D58">
        <f t="shared" si="32"/>
        <v>-1.8500000000000085</v>
      </c>
      <c r="E58">
        <f t="shared" si="32"/>
        <v>-1.6500000000000057</v>
      </c>
      <c r="F58">
        <f t="shared" si="32"/>
        <v>-1.2800000000000011</v>
      </c>
      <c r="G58">
        <f t="shared" si="32"/>
        <v>-1.5699999999999932</v>
      </c>
      <c r="H58">
        <f t="shared" si="32"/>
        <v>-2.259999999999998</v>
      </c>
      <c r="I58">
        <f t="shared" si="32"/>
        <v>-2.740000000000002</v>
      </c>
      <c r="J58">
        <f t="shared" si="32"/>
        <v>-3.9699999999999989</v>
      </c>
      <c r="K58">
        <f t="shared" si="32"/>
        <v>-5.3999999999999995</v>
      </c>
      <c r="L58">
        <f t="shared" si="32"/>
        <v>-6.43</v>
      </c>
      <c r="O58">
        <f t="shared" ref="O58:Y58" si="33">O17-O38</f>
        <v>0.02</v>
      </c>
      <c r="P58">
        <f t="shared" si="33"/>
        <v>26.949999999999996</v>
      </c>
      <c r="Q58">
        <f t="shared" si="33"/>
        <v>57.019999999999996</v>
      </c>
      <c r="R58">
        <f t="shared" si="33"/>
        <v>84.280000000000015</v>
      </c>
      <c r="S58">
        <f t="shared" si="33"/>
        <v>110.56</v>
      </c>
      <c r="T58">
        <f t="shared" si="33"/>
        <v>132.69</v>
      </c>
      <c r="U58">
        <f t="shared" si="33"/>
        <v>148.51</v>
      </c>
      <c r="V58">
        <f t="shared" si="33"/>
        <v>161.22000000000003</v>
      </c>
      <c r="W58">
        <f t="shared" si="33"/>
        <v>172.65000000000003</v>
      </c>
      <c r="X58">
        <f t="shared" si="33"/>
        <v>182.95</v>
      </c>
      <c r="Y58">
        <f t="shared" si="33"/>
        <v>190.44</v>
      </c>
    </row>
    <row r="59" spans="1:25" x14ac:dyDescent="0.3">
      <c r="A59">
        <v>170</v>
      </c>
      <c r="B59">
        <f t="shared" ref="B59:L59" si="34">B18-B39</f>
        <v>-0.81999999999999318</v>
      </c>
      <c r="C59">
        <f t="shared" si="34"/>
        <v>-2.0900000000000034</v>
      </c>
      <c r="D59">
        <f t="shared" si="34"/>
        <v>-1.5200000000000102</v>
      </c>
      <c r="E59">
        <f t="shared" si="34"/>
        <v>-1.6200000000000045</v>
      </c>
      <c r="F59">
        <f t="shared" si="34"/>
        <v>-1.3500000000000085</v>
      </c>
      <c r="G59">
        <f t="shared" si="34"/>
        <v>-0.51000000000000512</v>
      </c>
      <c r="H59">
        <f t="shared" si="34"/>
        <v>-1.0900000000000034</v>
      </c>
      <c r="I59">
        <f t="shared" si="34"/>
        <v>-1.8300000000000018</v>
      </c>
      <c r="J59">
        <f t="shared" si="34"/>
        <v>-2.4800000000000004</v>
      </c>
      <c r="K59">
        <f t="shared" si="34"/>
        <v>-3.96</v>
      </c>
      <c r="L59">
        <f t="shared" si="34"/>
        <v>-5.2399999999999984</v>
      </c>
      <c r="O59">
        <f t="shared" ref="O59:Y59" si="35">O18-O39</f>
        <v>0.02</v>
      </c>
      <c r="P59">
        <f t="shared" si="35"/>
        <v>16.270000000000003</v>
      </c>
      <c r="Q59">
        <f t="shared" si="35"/>
        <v>36.590000000000003</v>
      </c>
      <c r="R59">
        <f t="shared" si="35"/>
        <v>55.410000000000004</v>
      </c>
      <c r="S59">
        <f t="shared" si="35"/>
        <v>73.389999999999986</v>
      </c>
      <c r="T59">
        <f t="shared" si="35"/>
        <v>89.929999999999993</v>
      </c>
      <c r="U59">
        <f t="shared" si="35"/>
        <v>103.73000000000002</v>
      </c>
      <c r="V59">
        <f t="shared" si="35"/>
        <v>114</v>
      </c>
      <c r="W59">
        <f t="shared" si="35"/>
        <v>122.41000000000001</v>
      </c>
      <c r="X59">
        <f t="shared" si="35"/>
        <v>130.46</v>
      </c>
      <c r="Y59">
        <f t="shared" si="35"/>
        <v>138.07</v>
      </c>
    </row>
    <row r="60" spans="1:25" x14ac:dyDescent="0.3">
      <c r="A60">
        <v>175</v>
      </c>
      <c r="B60">
        <f t="shared" ref="B60:L60" si="36">B19-B40</f>
        <v>-0.81999999999999318</v>
      </c>
      <c r="C60">
        <f t="shared" si="36"/>
        <v>-1.5799999999999983</v>
      </c>
      <c r="D60">
        <f t="shared" si="36"/>
        <v>-0.93000000000000682</v>
      </c>
      <c r="E60">
        <f t="shared" si="36"/>
        <v>-0.81000000000000227</v>
      </c>
      <c r="F60">
        <f t="shared" si="36"/>
        <v>-0.38999999999998636</v>
      </c>
      <c r="G60">
        <f t="shared" si="36"/>
        <v>-0.21999999999999886</v>
      </c>
      <c r="H60">
        <f t="shared" si="36"/>
        <v>-0.60999999999999943</v>
      </c>
      <c r="I60">
        <f t="shared" si="36"/>
        <v>-1.129999999999999</v>
      </c>
      <c r="J60">
        <f t="shared" si="36"/>
        <v>-1.7599999999999998</v>
      </c>
      <c r="K60">
        <f t="shared" si="36"/>
        <v>-2.74</v>
      </c>
      <c r="L60">
        <f t="shared" si="36"/>
        <v>-4.18</v>
      </c>
      <c r="O60">
        <f t="shared" ref="O60:Y60" si="37">O19-O40</f>
        <v>0.02</v>
      </c>
      <c r="P60">
        <f t="shared" si="37"/>
        <v>5.34</v>
      </c>
      <c r="Q60">
        <f t="shared" si="37"/>
        <v>15.220000000000002</v>
      </c>
      <c r="R60">
        <f t="shared" si="37"/>
        <v>25.259999999999998</v>
      </c>
      <c r="S60">
        <f t="shared" si="37"/>
        <v>34.300000000000004</v>
      </c>
      <c r="T60">
        <f t="shared" si="37"/>
        <v>42.78</v>
      </c>
      <c r="U60">
        <f t="shared" si="37"/>
        <v>50.36</v>
      </c>
      <c r="V60">
        <f t="shared" si="37"/>
        <v>57.739999999999995</v>
      </c>
      <c r="W60">
        <f t="shared" si="37"/>
        <v>62.069999999999993</v>
      </c>
      <c r="X60">
        <f t="shared" si="37"/>
        <v>65.06</v>
      </c>
      <c r="Y60">
        <f t="shared" si="37"/>
        <v>66.69</v>
      </c>
    </row>
    <row r="61" spans="1:25" x14ac:dyDescent="0.3">
      <c r="A61">
        <v>180</v>
      </c>
      <c r="B61">
        <f t="shared" ref="B61:L61" si="38">B20-B41</f>
        <v>-0.81999999999999318</v>
      </c>
      <c r="C61">
        <f t="shared" si="38"/>
        <v>-0.92000000000000171</v>
      </c>
      <c r="D61">
        <f t="shared" si="38"/>
        <v>-0.42999999999999261</v>
      </c>
      <c r="E61">
        <f t="shared" si="38"/>
        <v>-0.29999999999999716</v>
      </c>
      <c r="F61">
        <f t="shared" si="38"/>
        <v>-0.10999999999999943</v>
      </c>
      <c r="G61">
        <f t="shared" si="38"/>
        <v>0.38000000000000256</v>
      </c>
      <c r="H61">
        <f t="shared" si="38"/>
        <v>0.26999999999999602</v>
      </c>
      <c r="I61">
        <f t="shared" si="38"/>
        <v>-0.37000000000000099</v>
      </c>
      <c r="J61">
        <f t="shared" si="38"/>
        <v>-1.1999999999999997</v>
      </c>
      <c r="K61">
        <f t="shared" si="38"/>
        <v>-2.129999999999999</v>
      </c>
      <c r="L61">
        <f t="shared" si="38"/>
        <v>-3.6500000000000021</v>
      </c>
      <c r="O61">
        <f t="shared" ref="O61:Y61" si="39">O20-O41</f>
        <v>0.02</v>
      </c>
      <c r="P61">
        <f t="shared" si="39"/>
        <v>-6.16</v>
      </c>
      <c r="Q61">
        <f t="shared" si="39"/>
        <v>-6.11</v>
      </c>
      <c r="R61">
        <f t="shared" si="39"/>
        <v>-6.5</v>
      </c>
      <c r="S61">
        <f t="shared" si="39"/>
        <v>-6.16</v>
      </c>
      <c r="T61">
        <f t="shared" si="39"/>
        <v>-6.38</v>
      </c>
      <c r="U61">
        <f t="shared" si="39"/>
        <v>-6.21</v>
      </c>
      <c r="V61">
        <f t="shared" si="39"/>
        <v>-5.99</v>
      </c>
      <c r="W61">
        <f t="shared" si="39"/>
        <v>-6.1800000000000006</v>
      </c>
      <c r="X61">
        <f t="shared" si="39"/>
        <v>-6.17</v>
      </c>
      <c r="Y61">
        <f t="shared" si="39"/>
        <v>-6.3999999999999995</v>
      </c>
    </row>
  </sheetData>
  <phoneticPr fontId="18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Lambda_d_matrix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sjo</dc:creator>
  <cp:lastModifiedBy>sjo</cp:lastModifiedBy>
  <dcterms:created xsi:type="dcterms:W3CDTF">2026-09-21T05:15:40Z</dcterms:created>
  <dcterms:modified xsi:type="dcterms:W3CDTF">2026-09-22T04:47:33Z</dcterms:modified>
</cp:coreProperties>
</file>