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.업무폴더\2026년도업무\5.전략연구사업\IONIQ5_FEMM\"/>
    </mc:Choice>
  </mc:AlternateContent>
  <bookViews>
    <workbookView xWindow="0" yWindow="0" windowWidth="28800" windowHeight="12975"/>
  </bookViews>
  <sheets>
    <sheet name="results_flux_dq0_그래프플롯" sheetId="1" r:id="rId1"/>
  </sheets>
  <calcPr calcId="0"/>
</workbook>
</file>

<file path=xl/calcChain.xml><?xml version="1.0" encoding="utf-8"?>
<calcChain xmlns="http://schemas.openxmlformats.org/spreadsheetml/2006/main">
  <c r="L170" i="1" l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2" i="1"/>
  <c r="I1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3" i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J2" i="1"/>
  <c r="I2" i="1"/>
</calcChain>
</file>

<file path=xl/sharedStrings.xml><?xml version="1.0" encoding="utf-8"?>
<sst xmlns="http://schemas.openxmlformats.org/spreadsheetml/2006/main" count="8" uniqueCount="8">
  <si>
    <t>Mechanical_Angle</t>
  </si>
  <si>
    <t>Phase_A</t>
  </si>
  <si>
    <t>Phase_B</t>
  </si>
  <si>
    <t>Phase_C</t>
  </si>
  <si>
    <t>Flux_d</t>
  </si>
  <si>
    <t>Flux_q</t>
  </si>
  <si>
    <t>Flux_0</t>
  </si>
  <si>
    <t>Electrical_Angle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</si>
</sst>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Magnetic</a:t>
            </a:r>
            <a:r>
              <a:rPr lang="en-US" altLang="ko-KR" baseline="0"/>
              <a:t> Flux Linkage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results_flux_dq0_그래프플롯!$F$1</c:f>
              <c:strCache>
                <c:ptCount val="1"/>
                <c:pt idx="0">
                  <c:v>Flux_d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results_flux_dq0_그래프플롯!$B$2:$B$182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cat>
          <c:val>
            <c:numRef>
              <c:f>results_flux_dq0_그래프플롯!$J$2:$J$182</c:f>
              <c:numCache>
                <c:formatCode>General</c:formatCode>
                <c:ptCount val="181"/>
                <c:pt idx="0">
                  <c:v>-9.0712170155530601E-3</c:v>
                </c:pt>
                <c:pt idx="1">
                  <c:v>-1.07318837128759E-2</c:v>
                </c:pt>
                <c:pt idx="2">
                  <c:v>2.5539463692658602E-2</c:v>
                </c:pt>
                <c:pt idx="3">
                  <c:v>0.13851911506994702</c:v>
                </c:pt>
                <c:pt idx="4">
                  <c:v>0.30397292148506799</c:v>
                </c:pt>
                <c:pt idx="5">
                  <c:v>0.54786842186565998</c:v>
                </c:pt>
                <c:pt idx="6">
                  <c:v>0.80164721393302596</c:v>
                </c:pt>
                <c:pt idx="7">
                  <c:v>1.0567003562156398</c:v>
                </c:pt>
                <c:pt idx="8">
                  <c:v>1.2553521285710301</c:v>
                </c:pt>
                <c:pt idx="9">
                  <c:v>1.42367245144871</c:v>
                </c:pt>
                <c:pt idx="10">
                  <c:v>1.4755890953856399</c:v>
                </c:pt>
                <c:pt idx="11">
                  <c:v>1.4080920168192099</c:v>
                </c:pt>
                <c:pt idx="12">
                  <c:v>1.23504827487784</c:v>
                </c:pt>
                <c:pt idx="13">
                  <c:v>0.93077976320298395</c:v>
                </c:pt>
                <c:pt idx="14">
                  <c:v>0.57076602788286301</c:v>
                </c:pt>
                <c:pt idx="15">
                  <c:v>0.17454036681944099</c:v>
                </c:pt>
                <c:pt idx="16">
                  <c:v>-0.21817412302483202</c:v>
                </c:pt>
                <c:pt idx="17">
                  <c:v>-0.581986303393497</c:v>
                </c:pt>
                <c:pt idx="18">
                  <c:v>-0.889577109087343</c:v>
                </c:pt>
                <c:pt idx="19">
                  <c:v>-1.0906745930555899</c:v>
                </c:pt>
                <c:pt idx="20">
                  <c:v>-1.1583038466250601</c:v>
                </c:pt>
                <c:pt idx="21">
                  <c:v>-1.1296663665340301</c:v>
                </c:pt>
                <c:pt idx="22">
                  <c:v>-1.04218645562887</c:v>
                </c:pt>
                <c:pt idx="23">
                  <c:v>-0.83679608545502304</c:v>
                </c:pt>
                <c:pt idx="24">
                  <c:v>-0.59092589727979505</c:v>
                </c:pt>
                <c:pt idx="25">
                  <c:v>-0.369290111575382</c:v>
                </c:pt>
                <c:pt idx="26">
                  <c:v>-0.139463689220305</c:v>
                </c:pt>
                <c:pt idx="27">
                  <c:v>3.2035898160698198E-2</c:v>
                </c:pt>
                <c:pt idx="28">
                  <c:v>0.113810340294854</c:v>
                </c:pt>
                <c:pt idx="29">
                  <c:v>0.126847288886485</c:v>
                </c:pt>
                <c:pt idx="30">
                  <c:v>0.107563931738956</c:v>
                </c:pt>
                <c:pt idx="31">
                  <c:v>7.9195142350602404E-2</c:v>
                </c:pt>
                <c:pt idx="32">
                  <c:v>8.9838327625347603E-2</c:v>
                </c:pt>
                <c:pt idx="33">
                  <c:v>0.17359632153315099</c:v>
                </c:pt>
                <c:pt idx="34">
                  <c:v>0.31958789080231897</c:v>
                </c:pt>
                <c:pt idx="35">
                  <c:v>0.47541192381564995</c:v>
                </c:pt>
                <c:pt idx="36">
                  <c:v>0.7322613831596011</c:v>
                </c:pt>
                <c:pt idx="37">
                  <c:v>0.95886796103645999</c:v>
                </c:pt>
                <c:pt idx="38">
                  <c:v>1.1684310875223101</c:v>
                </c:pt>
                <c:pt idx="39">
                  <c:v>1.2782313816038799</c:v>
                </c:pt>
                <c:pt idx="40">
                  <c:v>1.2890561281019601</c:v>
                </c:pt>
                <c:pt idx="41">
                  <c:v>1.2403314371007899</c:v>
                </c:pt>
                <c:pt idx="42">
                  <c:v>1.05140041810734</c:v>
                </c:pt>
                <c:pt idx="43">
                  <c:v>0.75842848074170099</c:v>
                </c:pt>
                <c:pt idx="44">
                  <c:v>0.39024845930165197</c:v>
                </c:pt>
                <c:pt idx="45">
                  <c:v>-1.5844027677481599E-2</c:v>
                </c:pt>
                <c:pt idx="46">
                  <c:v>-0.39551100796873695</c:v>
                </c:pt>
                <c:pt idx="47">
                  <c:v>-0.77661506300316596</c:v>
                </c:pt>
                <c:pt idx="48">
                  <c:v>-1.0510313674040499</c:v>
                </c:pt>
                <c:pt idx="49">
                  <c:v>-1.2731460476732999</c:v>
                </c:pt>
                <c:pt idx="50">
                  <c:v>-1.3721734617283798</c:v>
                </c:pt>
                <c:pt idx="51">
                  <c:v>-1.31200531238489</c:v>
                </c:pt>
                <c:pt idx="52">
                  <c:v>-1.204121013083</c:v>
                </c:pt>
                <c:pt idx="53">
                  <c:v>-0.99465521154712411</c:v>
                </c:pt>
                <c:pt idx="54">
                  <c:v>-0.76243292135187202</c:v>
                </c:pt>
                <c:pt idx="55">
                  <c:v>-0.53497776411684494</c:v>
                </c:pt>
                <c:pt idx="56">
                  <c:v>-0.33308980988565695</c:v>
                </c:pt>
                <c:pt idx="57">
                  <c:v>-0.197391081150151</c:v>
                </c:pt>
                <c:pt idx="58">
                  <c:v>-0.116353934237182</c:v>
                </c:pt>
                <c:pt idx="59">
                  <c:v>-0.11038031091461101</c:v>
                </c:pt>
                <c:pt idx="60">
                  <c:v>-0.116499424069739</c:v>
                </c:pt>
                <c:pt idx="61">
                  <c:v>-0.13721395701719399</c:v>
                </c:pt>
                <c:pt idx="62">
                  <c:v>-0.12187907457805701</c:v>
                </c:pt>
                <c:pt idx="63">
                  <c:v>-4.5245463093423997E-2</c:v>
                </c:pt>
                <c:pt idx="64">
                  <c:v>0.110954181957667</c:v>
                </c:pt>
                <c:pt idx="65">
                  <c:v>0.28120284333239298</c:v>
                </c:pt>
                <c:pt idx="66">
                  <c:v>0.56249253420439604</c:v>
                </c:pt>
                <c:pt idx="67">
                  <c:v>0.79140380923058995</c:v>
                </c:pt>
                <c:pt idx="68">
                  <c:v>0.98723264352048601</c:v>
                </c:pt>
                <c:pt idx="69">
                  <c:v>1.1127270811132102</c:v>
                </c:pt>
                <c:pt idx="70">
                  <c:v>1.1435033291985099</c:v>
                </c:pt>
                <c:pt idx="71">
                  <c:v>1.05837920996667</c:v>
                </c:pt>
                <c:pt idx="72">
                  <c:v>0.85767822027660301</c:v>
                </c:pt>
                <c:pt idx="73">
                  <c:v>0.55747724307956803</c:v>
                </c:pt>
                <c:pt idx="74">
                  <c:v>0.18229006844829301</c:v>
                </c:pt>
                <c:pt idx="75">
                  <c:v>-0.22269144693825801</c:v>
                </c:pt>
                <c:pt idx="76">
                  <c:v>-0.60932055994189394</c:v>
                </c:pt>
                <c:pt idx="77">
                  <c:v>-0.951168536984491</c:v>
                </c:pt>
                <c:pt idx="78">
                  <c:v>-1.2653165785849301</c:v>
                </c:pt>
                <c:pt idx="79">
                  <c:v>-1.4290917674092198</c:v>
                </c:pt>
                <c:pt idx="80">
                  <c:v>-1.49819617081945</c:v>
                </c:pt>
                <c:pt idx="81">
                  <c:v>-1.4330041302576699</c:v>
                </c:pt>
                <c:pt idx="82">
                  <c:v>-1.2806662140064602</c:v>
                </c:pt>
                <c:pt idx="83">
                  <c:v>-1.0608510832728399</c:v>
                </c:pt>
                <c:pt idx="84">
                  <c:v>-0.82397985582632793</c:v>
                </c:pt>
                <c:pt idx="85">
                  <c:v>-0.57149166172577803</c:v>
                </c:pt>
                <c:pt idx="86">
                  <c:v>-0.32145375588005598</c:v>
                </c:pt>
                <c:pt idx="87">
                  <c:v>-0.16419838778549301</c:v>
                </c:pt>
                <c:pt idx="88">
                  <c:v>-5.4042038989514797E-2</c:v>
                </c:pt>
                <c:pt idx="89">
                  <c:v>-1.28019343157472E-2</c:v>
                </c:pt>
                <c:pt idx="90">
                  <c:v>-1.2325941656265001E-2</c:v>
                </c:pt>
                <c:pt idx="91">
                  <c:v>-1.0166807835600599E-2</c:v>
                </c:pt>
                <c:pt idx="92">
                  <c:v>2.31301480369446E-2</c:v>
                </c:pt>
                <c:pt idx="93">
                  <c:v>0.10000270188563</c:v>
                </c:pt>
                <c:pt idx="94">
                  <c:v>0.30876079397916001</c:v>
                </c:pt>
                <c:pt idx="95">
                  <c:v>0.53999712903394492</c:v>
                </c:pt>
                <c:pt idx="96">
                  <c:v>0.79238477851290001</c:v>
                </c:pt>
                <c:pt idx="97">
                  <c:v>1.0542225531629599</c:v>
                </c:pt>
                <c:pt idx="98">
                  <c:v>1.27733752580238</c:v>
                </c:pt>
                <c:pt idx="99">
                  <c:v>1.4225384847803899</c:v>
                </c:pt>
                <c:pt idx="100">
                  <c:v>1.4771372561946801</c:v>
                </c:pt>
                <c:pt idx="101">
                  <c:v>1.4139380710984699</c:v>
                </c:pt>
                <c:pt idx="102">
                  <c:v>1.23705454153283</c:v>
                </c:pt>
                <c:pt idx="103">
                  <c:v>0.95498267787415703</c:v>
                </c:pt>
                <c:pt idx="104">
                  <c:v>0.61311868492369592</c:v>
                </c:pt>
                <c:pt idx="105">
                  <c:v>0.173679346508123</c:v>
                </c:pt>
                <c:pt idx="106">
                  <c:v>-0.20925725943875201</c:v>
                </c:pt>
                <c:pt idx="107">
                  <c:v>-0.58244756178721302</c:v>
                </c:pt>
                <c:pt idx="108">
                  <c:v>-0.87525511242932097</c:v>
                </c:pt>
                <c:pt idx="109">
                  <c:v>-1.0712896627770601</c:v>
                </c:pt>
                <c:pt idx="110">
                  <c:v>-1.15246616713725</c:v>
                </c:pt>
                <c:pt idx="111">
                  <c:v>-1.1300887651500999</c:v>
                </c:pt>
                <c:pt idx="112">
                  <c:v>-1.0003028845533299</c:v>
                </c:pt>
                <c:pt idx="113">
                  <c:v>-0.81579610185286699</c:v>
                </c:pt>
                <c:pt idx="114">
                  <c:v>-0.57811758637116006</c:v>
                </c:pt>
                <c:pt idx="115">
                  <c:v>-0.34491631944852796</c:v>
                </c:pt>
                <c:pt idx="116">
                  <c:v>-0.12904356556141899</c:v>
                </c:pt>
                <c:pt idx="117">
                  <c:v>3.2670423773349402E-2</c:v>
                </c:pt>
                <c:pt idx="118">
                  <c:v>0.11466484238883801</c:v>
                </c:pt>
                <c:pt idx="119">
                  <c:v>0.12335018040008001</c:v>
                </c:pt>
                <c:pt idx="120">
                  <c:v>9.3521101598551398E-2</c:v>
                </c:pt>
                <c:pt idx="121">
                  <c:v>7.6215429783792796E-2</c:v>
                </c:pt>
                <c:pt idx="122">
                  <c:v>5.3912626864608501E-2</c:v>
                </c:pt>
                <c:pt idx="123">
                  <c:v>0.17051953670157499</c:v>
                </c:pt>
                <c:pt idx="124">
                  <c:v>0.27258510718185397</c:v>
                </c:pt>
                <c:pt idx="125">
                  <c:v>0.51198997537494906</c:v>
                </c:pt>
                <c:pt idx="126">
                  <c:v>0.749576253737817</c:v>
                </c:pt>
                <c:pt idx="127">
                  <c:v>0.97029258692959897</c:v>
                </c:pt>
                <c:pt idx="128">
                  <c:v>1.1691037654584</c:v>
                </c:pt>
                <c:pt idx="129">
                  <c:v>1.30010769233038</c:v>
                </c:pt>
                <c:pt idx="130">
                  <c:v>1.3286671884640502</c:v>
                </c:pt>
                <c:pt idx="131">
                  <c:v>1.25062860795716</c:v>
                </c:pt>
                <c:pt idx="132">
                  <c:v>1.0570630449169101</c:v>
                </c:pt>
                <c:pt idx="133">
                  <c:v>0.76650820360287397</c:v>
                </c:pt>
                <c:pt idx="134">
                  <c:v>0.40014083067126499</c:v>
                </c:pt>
                <c:pt idx="135">
                  <c:v>-2.6135076606551001E-2</c:v>
                </c:pt>
                <c:pt idx="136">
                  <c:v>-0.41152524189577699</c:v>
                </c:pt>
                <c:pt idx="137">
                  <c:v>-0.78322204510677895</c:v>
                </c:pt>
                <c:pt idx="138">
                  <c:v>-1.0630198562953501</c:v>
                </c:pt>
                <c:pt idx="139">
                  <c:v>-1.2586341535435099</c:v>
                </c:pt>
                <c:pt idx="140">
                  <c:v>-1.3318350533463199</c:v>
                </c:pt>
                <c:pt idx="141">
                  <c:v>-1.2875615391134099</c:v>
                </c:pt>
                <c:pt idx="142">
                  <c:v>-1.20247605211305</c:v>
                </c:pt>
                <c:pt idx="143">
                  <c:v>-0.99145604629125894</c:v>
                </c:pt>
                <c:pt idx="144">
                  <c:v>-0.776915008153374</c:v>
                </c:pt>
                <c:pt idx="145">
                  <c:v>-0.541592174289516</c:v>
                </c:pt>
                <c:pt idx="146">
                  <c:v>-0.33963389206935901</c:v>
                </c:pt>
                <c:pt idx="147">
                  <c:v>-0.19219289984708399</c:v>
                </c:pt>
                <c:pt idx="148">
                  <c:v>-0.13692489057809301</c:v>
                </c:pt>
                <c:pt idx="149">
                  <c:v>-0.110202574062782</c:v>
                </c:pt>
                <c:pt idx="150">
                  <c:v>-0.136086318076026</c:v>
                </c:pt>
                <c:pt idx="151">
                  <c:v>-0.157217170467192</c:v>
                </c:pt>
                <c:pt idx="152">
                  <c:v>-0.13364894513376702</c:v>
                </c:pt>
                <c:pt idx="153">
                  <c:v>-5.8290679966090497E-2</c:v>
                </c:pt>
                <c:pt idx="154">
                  <c:v>0.126311724344879</c:v>
                </c:pt>
                <c:pt idx="155">
                  <c:v>0.33069519561099997</c:v>
                </c:pt>
                <c:pt idx="156">
                  <c:v>0.55259730891359493</c:v>
                </c:pt>
                <c:pt idx="157">
                  <c:v>0.79679342181271295</c:v>
                </c:pt>
                <c:pt idx="158">
                  <c:v>0.9926880315452109</c:v>
                </c:pt>
                <c:pt idx="159">
                  <c:v>1.1067554297708999</c:v>
                </c:pt>
                <c:pt idx="160">
                  <c:v>1.1365702309337802</c:v>
                </c:pt>
                <c:pt idx="161">
                  <c:v>1.03860426184445</c:v>
                </c:pt>
                <c:pt idx="162">
                  <c:v>0.86106029534033202</c:v>
                </c:pt>
                <c:pt idx="163">
                  <c:v>0.55991814274198404</c:v>
                </c:pt>
                <c:pt idx="164">
                  <c:v>0.15947344996285701</c:v>
                </c:pt>
                <c:pt idx="165">
                  <c:v>-0.21337396273027001</c:v>
                </c:pt>
                <c:pt idx="166">
                  <c:v>-0.60866405241959498</c:v>
                </c:pt>
                <c:pt idx="167">
                  <c:v>-0.99492914146759592</c:v>
                </c:pt>
                <c:pt idx="168">
                  <c:v>-1.28181297504363</c:v>
                </c:pt>
                <c:pt idx="169">
                  <c:v>-1.43861207226415</c:v>
                </c:pt>
                <c:pt idx="170">
                  <c:v>-1.50268111702479</c:v>
                </c:pt>
                <c:pt idx="171">
                  <c:v>-1.4584058623221599</c:v>
                </c:pt>
                <c:pt idx="172">
                  <c:v>-1.3034149969926099</c:v>
                </c:pt>
                <c:pt idx="173">
                  <c:v>-1.0880615598435299</c:v>
                </c:pt>
                <c:pt idx="174">
                  <c:v>-0.83366849296030698</c:v>
                </c:pt>
                <c:pt idx="175">
                  <c:v>-0.57544059339173903</c:v>
                </c:pt>
                <c:pt idx="176">
                  <c:v>-0.33921397033630596</c:v>
                </c:pt>
                <c:pt idx="177">
                  <c:v>-0.16719252365265</c:v>
                </c:pt>
                <c:pt idx="178">
                  <c:v>-6.0783435110877297E-2</c:v>
                </c:pt>
                <c:pt idx="179">
                  <c:v>-2.5253446661613298E-2</c:v>
                </c:pt>
                <c:pt idx="180">
                  <c:v>-2.3650541448177998E-3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results_flux_dq0_그래프플롯!$G$1</c:f>
              <c:strCache>
                <c:ptCount val="1"/>
                <c:pt idx="0">
                  <c:v>Flux_q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results_flux_dq0_그래프플롯!$B$2:$B$182</c:f>
              <c:numCache>
                <c:formatCode>General</c:formatCode>
                <c:ptCount val="18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</c:numCache>
            </c:numRef>
          </c:cat>
          <c:val>
            <c:numRef>
              <c:f>results_flux_dq0_그래프플롯!$K$2:$K$182</c:f>
              <c:numCache>
                <c:formatCode>General</c:formatCode>
                <c:ptCount val="181"/>
                <c:pt idx="0">
                  <c:v>-0.94591594970751203</c:v>
                </c:pt>
                <c:pt idx="1">
                  <c:v>-0.92394060956951307</c:v>
                </c:pt>
                <c:pt idx="2">
                  <c:v>-0.83837857586752307</c:v>
                </c:pt>
                <c:pt idx="3">
                  <c:v>-0.69979878811750496</c:v>
                </c:pt>
                <c:pt idx="4">
                  <c:v>-0.53653779024250525</c:v>
                </c:pt>
                <c:pt idx="5">
                  <c:v>-0.36019508190651095</c:v>
                </c:pt>
                <c:pt idx="6">
                  <c:v>-0.18003248047651255</c:v>
                </c:pt>
                <c:pt idx="7">
                  <c:v>-2.1647943445515239E-2</c:v>
                </c:pt>
                <c:pt idx="8">
                  <c:v>0.12205632930249521</c:v>
                </c:pt>
                <c:pt idx="9">
                  <c:v>0.23454850852547793</c:v>
                </c:pt>
                <c:pt idx="10">
                  <c:v>0.32287943255050777</c:v>
                </c:pt>
                <c:pt idx="11">
                  <c:v>0.40704013456448251</c:v>
                </c:pt>
                <c:pt idx="12">
                  <c:v>0.48511252120249537</c:v>
                </c:pt>
                <c:pt idx="13">
                  <c:v>0.54801858420947269</c:v>
                </c:pt>
                <c:pt idx="14">
                  <c:v>0.60267429022948704</c:v>
                </c:pt>
                <c:pt idx="15">
                  <c:v>0.62263332616146272</c:v>
                </c:pt>
                <c:pt idx="16">
                  <c:v>0.61685477589850279</c:v>
                </c:pt>
                <c:pt idx="17">
                  <c:v>0.57618038866249321</c:v>
                </c:pt>
                <c:pt idx="18">
                  <c:v>0.52653000282049334</c:v>
                </c:pt>
                <c:pt idx="19">
                  <c:v>0.46146964977049265</c:v>
                </c:pt>
                <c:pt idx="20">
                  <c:v>0.38621412945147426</c:v>
                </c:pt>
                <c:pt idx="21">
                  <c:v>0.29752505049549427</c:v>
                </c:pt>
                <c:pt idx="22">
                  <c:v>0.20411183194849514</c:v>
                </c:pt>
                <c:pt idx="23">
                  <c:v>7.7129076053495282E-2</c:v>
                </c:pt>
                <c:pt idx="24">
                  <c:v>-7.8452880532495328E-2</c:v>
                </c:pt>
                <c:pt idx="25">
                  <c:v>-0.25319019444552282</c:v>
                </c:pt>
                <c:pt idx="26">
                  <c:v>-0.43123856159951401</c:v>
                </c:pt>
                <c:pt idx="27">
                  <c:v>-0.59320206206649573</c:v>
                </c:pt>
                <c:pt idx="28">
                  <c:v>-0.71744726882653254</c:v>
                </c:pt>
                <c:pt idx="29">
                  <c:v>-0.79227173340649415</c:v>
                </c:pt>
                <c:pt idx="30">
                  <c:v>-0.81203568548352223</c:v>
                </c:pt>
                <c:pt idx="31">
                  <c:v>-0.77864714811150293</c:v>
                </c:pt>
                <c:pt idx="32">
                  <c:v>-0.69424390057750429</c:v>
                </c:pt>
                <c:pt idx="33">
                  <c:v>-0.55617482541350682</c:v>
                </c:pt>
                <c:pt idx="34">
                  <c:v>-0.38533990622352121</c:v>
                </c:pt>
                <c:pt idx="35">
                  <c:v>-0.19713627261452871</c:v>
                </c:pt>
                <c:pt idx="36">
                  <c:v>-2.9572413978513623E-2</c:v>
                </c:pt>
                <c:pt idx="37">
                  <c:v>0.13049668694247885</c:v>
                </c:pt>
                <c:pt idx="38">
                  <c:v>0.26264615565247595</c:v>
                </c:pt>
                <c:pt idx="39">
                  <c:v>0.3749090411384941</c:v>
                </c:pt>
                <c:pt idx="40">
                  <c:v>0.46405574075149048</c:v>
                </c:pt>
                <c:pt idx="41">
                  <c:v>0.54578315902747931</c:v>
                </c:pt>
                <c:pt idx="42">
                  <c:v>0.61374917076048519</c:v>
                </c:pt>
                <c:pt idx="43">
                  <c:v>0.6640542500084905</c:v>
                </c:pt>
                <c:pt idx="44">
                  <c:v>0.7048227545824659</c:v>
                </c:pt>
                <c:pt idx="45">
                  <c:v>0.72529642499048919</c:v>
                </c:pt>
                <c:pt idx="46">
                  <c:v>0.70608098880549619</c:v>
                </c:pt>
                <c:pt idx="47">
                  <c:v>0.66782052515148393</c:v>
                </c:pt>
                <c:pt idx="48">
                  <c:v>0.60883925768848712</c:v>
                </c:pt>
                <c:pt idx="49">
                  <c:v>0.54379792983746711</c:v>
                </c:pt>
                <c:pt idx="50">
                  <c:v>0.46771539671348705</c:v>
                </c:pt>
                <c:pt idx="51">
                  <c:v>0.37255019911546583</c:v>
                </c:pt>
                <c:pt idx="52">
                  <c:v>0.26248868828051286</c:v>
                </c:pt>
                <c:pt idx="53">
                  <c:v>0.13347175157150559</c:v>
                </c:pt>
                <c:pt idx="54">
                  <c:v>-2.5178614905513541E-2</c:v>
                </c:pt>
                <c:pt idx="55">
                  <c:v>-0.1991756867465142</c:v>
                </c:pt>
                <c:pt idx="56">
                  <c:v>-0.382133312433524</c:v>
                </c:pt>
                <c:pt idx="57">
                  <c:v>-0.55198559764451716</c:v>
                </c:pt>
                <c:pt idx="58">
                  <c:v>-0.69030340889952413</c:v>
                </c:pt>
                <c:pt idx="59">
                  <c:v>-0.77829645208552733</c:v>
                </c:pt>
                <c:pt idx="60">
                  <c:v>-0.81044931749451621</c:v>
                </c:pt>
                <c:pt idx="61">
                  <c:v>-0.7776220374624927</c:v>
                </c:pt>
                <c:pt idx="62">
                  <c:v>-0.71682805821450302</c:v>
                </c:pt>
                <c:pt idx="63">
                  <c:v>-0.59091425533750908</c:v>
                </c:pt>
                <c:pt idx="64">
                  <c:v>-0.42800455444651675</c:v>
                </c:pt>
                <c:pt idx="65">
                  <c:v>-0.24232555462651817</c:v>
                </c:pt>
                <c:pt idx="66">
                  <c:v>-8.2817587198519504E-2</c:v>
                </c:pt>
                <c:pt idx="67">
                  <c:v>6.7756815510506385E-2</c:v>
                </c:pt>
                <c:pt idx="68">
                  <c:v>0.19673745445547297</c:v>
                </c:pt>
                <c:pt idx="69">
                  <c:v>0.30076086235348498</c:v>
                </c:pt>
                <c:pt idx="70">
                  <c:v>0.38596828740747924</c:v>
                </c:pt>
                <c:pt idx="71">
                  <c:v>0.46535455487548916</c:v>
                </c:pt>
                <c:pt idx="72">
                  <c:v>0.52815095253447453</c:v>
                </c:pt>
                <c:pt idx="73">
                  <c:v>0.57743926750748642</c:v>
                </c:pt>
                <c:pt idx="74">
                  <c:v>0.6181373807874877</c:v>
                </c:pt>
                <c:pt idx="75">
                  <c:v>0.63084286798050471</c:v>
                </c:pt>
                <c:pt idx="76">
                  <c:v>0.6015100035094747</c:v>
                </c:pt>
                <c:pt idx="77">
                  <c:v>0.54122630602850563</c:v>
                </c:pt>
                <c:pt idx="78">
                  <c:v>0.4803424320824945</c:v>
                </c:pt>
                <c:pt idx="79">
                  <c:v>0.40439162539848894</c:v>
                </c:pt>
                <c:pt idx="80">
                  <c:v>0.31937353458548046</c:v>
                </c:pt>
                <c:pt idx="81">
                  <c:v>0.23708897139150054</c:v>
                </c:pt>
                <c:pt idx="82">
                  <c:v>0.11482776965550556</c:v>
                </c:pt>
                <c:pt idx="83">
                  <c:v>-2.2211959467512088E-2</c:v>
                </c:pt>
                <c:pt idx="84">
                  <c:v>-0.18465337722051345</c:v>
                </c:pt>
                <c:pt idx="85">
                  <c:v>-0.36023061481651553</c:v>
                </c:pt>
                <c:pt idx="86">
                  <c:v>-0.53648273947649727</c:v>
                </c:pt>
                <c:pt idx="87">
                  <c:v>-0.70737631347952856</c:v>
                </c:pt>
                <c:pt idx="88">
                  <c:v>-0.83735187708049352</c:v>
                </c:pt>
                <c:pt idx="89">
                  <c:v>-0.91902220792852063</c:v>
                </c:pt>
                <c:pt idx="90">
                  <c:v>-0.9492126368135132</c:v>
                </c:pt>
                <c:pt idx="91">
                  <c:v>-0.92026367745052085</c:v>
                </c:pt>
                <c:pt idx="92">
                  <c:v>-0.836594620592507</c:v>
                </c:pt>
                <c:pt idx="93">
                  <c:v>-0.69934276587650857</c:v>
                </c:pt>
                <c:pt idx="94">
                  <c:v>-0.54215372454950739</c:v>
                </c:pt>
                <c:pt idx="95">
                  <c:v>-0.36032216236853287</c:v>
                </c:pt>
                <c:pt idx="96">
                  <c:v>-0.18409803489350907</c:v>
                </c:pt>
                <c:pt idx="97">
                  <c:v>-2.04291751205119E-2</c:v>
                </c:pt>
                <c:pt idx="98">
                  <c:v>0.11467642846750437</c:v>
                </c:pt>
                <c:pt idx="99">
                  <c:v>0.22646483056848865</c:v>
                </c:pt>
                <c:pt idx="100">
                  <c:v>0.32237262714548365</c:v>
                </c:pt>
                <c:pt idx="101">
                  <c:v>0.40602752331247416</c:v>
                </c:pt>
                <c:pt idx="102">
                  <c:v>0.48102078788548397</c:v>
                </c:pt>
                <c:pt idx="103">
                  <c:v>0.54558935431049349</c:v>
                </c:pt>
                <c:pt idx="104">
                  <c:v>0.59680303269649926</c:v>
                </c:pt>
                <c:pt idx="105">
                  <c:v>0.62118412152148039</c:v>
                </c:pt>
                <c:pt idx="106">
                  <c:v>0.61090189084549706</c:v>
                </c:pt>
                <c:pt idx="107">
                  <c:v>0.57730209635249707</c:v>
                </c:pt>
                <c:pt idx="108">
                  <c:v>0.5313228647124788</c:v>
                </c:pt>
                <c:pt idx="109">
                  <c:v>0.4598530391905058</c:v>
                </c:pt>
                <c:pt idx="110">
                  <c:v>0.3833680386414926</c:v>
                </c:pt>
                <c:pt idx="111">
                  <c:v>0.2938021577734844</c:v>
                </c:pt>
                <c:pt idx="112">
                  <c:v>0.19234343268948351</c:v>
                </c:pt>
                <c:pt idx="113">
                  <c:v>6.7867181817490518E-2</c:v>
                </c:pt>
                <c:pt idx="114">
                  <c:v>-8.8884336518503915E-2</c:v>
                </c:pt>
                <c:pt idx="115">
                  <c:v>-0.25085395354452089</c:v>
                </c:pt>
                <c:pt idx="116">
                  <c:v>-0.43063599610951542</c:v>
                </c:pt>
                <c:pt idx="117">
                  <c:v>-0.59394975803249395</c:v>
                </c:pt>
                <c:pt idx="118">
                  <c:v>-0.71619278632149985</c:v>
                </c:pt>
                <c:pt idx="119">
                  <c:v>-0.79013138135050554</c:v>
                </c:pt>
                <c:pt idx="120">
                  <c:v>-0.80716331510350869</c:v>
                </c:pt>
                <c:pt idx="121">
                  <c:v>-0.77849720028351044</c:v>
                </c:pt>
                <c:pt idx="122">
                  <c:v>-0.6847515065884977</c:v>
                </c:pt>
                <c:pt idx="123">
                  <c:v>-0.55467056214851596</c:v>
                </c:pt>
                <c:pt idx="124">
                  <c:v>-0.37739247342852877</c:v>
                </c:pt>
                <c:pt idx="125">
                  <c:v>-0.20606416595751398</c:v>
                </c:pt>
                <c:pt idx="126">
                  <c:v>-3.129666203651027E-2</c:v>
                </c:pt>
                <c:pt idx="127">
                  <c:v>0.13084550534347272</c:v>
                </c:pt>
                <c:pt idx="128">
                  <c:v>0.26082485094846675</c:v>
                </c:pt>
                <c:pt idx="129">
                  <c:v>0.36909781281147502</c:v>
                </c:pt>
                <c:pt idx="130">
                  <c:v>0.46078875585649826</c:v>
                </c:pt>
                <c:pt idx="131">
                  <c:v>0.53987792219248831</c:v>
                </c:pt>
                <c:pt idx="132">
                  <c:v>0.60653803189347855</c:v>
                </c:pt>
                <c:pt idx="133">
                  <c:v>0.66397025465249726</c:v>
                </c:pt>
                <c:pt idx="134">
                  <c:v>0.70570158309149633</c:v>
                </c:pt>
                <c:pt idx="135">
                  <c:v>0.73143438574248876</c:v>
                </c:pt>
                <c:pt idx="136">
                  <c:v>0.70797506332050375</c:v>
                </c:pt>
                <c:pt idx="137">
                  <c:v>0.6632861595354882</c:v>
                </c:pt>
                <c:pt idx="138">
                  <c:v>0.6079717987194897</c:v>
                </c:pt>
                <c:pt idx="139">
                  <c:v>0.54428143936348761</c:v>
                </c:pt>
                <c:pt idx="140">
                  <c:v>0.4630091004484882</c:v>
                </c:pt>
                <c:pt idx="141">
                  <c:v>0.3736859657144862</c:v>
                </c:pt>
                <c:pt idx="142">
                  <c:v>0.26637847909751144</c:v>
                </c:pt>
                <c:pt idx="143">
                  <c:v>0.13671047733950559</c:v>
                </c:pt>
                <c:pt idx="144">
                  <c:v>-2.5017137399515832E-2</c:v>
                </c:pt>
                <c:pt idx="145">
                  <c:v>-0.20969793042351625</c:v>
                </c:pt>
                <c:pt idx="146">
                  <c:v>-0.38453017375249487</c:v>
                </c:pt>
                <c:pt idx="147">
                  <c:v>-0.55440009169552695</c:v>
                </c:pt>
                <c:pt idx="148">
                  <c:v>-0.6870145809195094</c:v>
                </c:pt>
                <c:pt idx="149">
                  <c:v>-0.77878523515349229</c:v>
                </c:pt>
                <c:pt idx="150">
                  <c:v>-0.81090559216150382</c:v>
                </c:pt>
                <c:pt idx="151">
                  <c:v>-0.79449703696252527</c:v>
                </c:pt>
                <c:pt idx="152">
                  <c:v>-0.71709692363148747</c:v>
                </c:pt>
                <c:pt idx="153">
                  <c:v>-0.59596395549951353</c:v>
                </c:pt>
                <c:pt idx="154">
                  <c:v>-0.42672764241351047</c:v>
                </c:pt>
                <c:pt idx="155">
                  <c:v>-0.25442314850150183</c:v>
                </c:pt>
                <c:pt idx="156">
                  <c:v>-8.6361342083506543E-2</c:v>
                </c:pt>
                <c:pt idx="157">
                  <c:v>6.7671868389510337E-2</c:v>
                </c:pt>
                <c:pt idx="158">
                  <c:v>0.19935317201748148</c:v>
                </c:pt>
                <c:pt idx="159">
                  <c:v>0.2972859179265015</c:v>
                </c:pt>
                <c:pt idx="160">
                  <c:v>0.38953857265948955</c:v>
                </c:pt>
                <c:pt idx="161">
                  <c:v>0.46837057269448223</c:v>
                </c:pt>
                <c:pt idx="162">
                  <c:v>0.52588802171047178</c:v>
                </c:pt>
                <c:pt idx="163">
                  <c:v>0.58045773117049748</c:v>
                </c:pt>
                <c:pt idx="164">
                  <c:v>0.62239324923046979</c:v>
                </c:pt>
                <c:pt idx="165">
                  <c:v>0.62142479548850815</c:v>
                </c:pt>
                <c:pt idx="166">
                  <c:v>0.59246705690247836</c:v>
                </c:pt>
                <c:pt idx="167">
                  <c:v>0.54369877659749477</c:v>
                </c:pt>
                <c:pt idx="168">
                  <c:v>0.48150071778349002</c:v>
                </c:pt>
                <c:pt idx="169">
                  <c:v>0.40680190605550592</c:v>
                </c:pt>
                <c:pt idx="170">
                  <c:v>0.32164430743247863</c:v>
                </c:pt>
                <c:pt idx="171">
                  <c:v>0.22815873545948762</c:v>
                </c:pt>
                <c:pt idx="172">
                  <c:v>0.11506726859349214</c:v>
                </c:pt>
                <c:pt idx="173">
                  <c:v>-2.181174340850589E-2</c:v>
                </c:pt>
                <c:pt idx="174">
                  <c:v>-0.18089575113148726</c:v>
                </c:pt>
                <c:pt idx="175">
                  <c:v>-0.36156643654652498</c:v>
                </c:pt>
                <c:pt idx="176">
                  <c:v>-0.53848238281949534</c:v>
                </c:pt>
                <c:pt idx="177">
                  <c:v>-0.70640631202149962</c:v>
                </c:pt>
                <c:pt idx="178">
                  <c:v>-0.84164453349950463</c:v>
                </c:pt>
                <c:pt idx="179">
                  <c:v>-0.92072709899849769</c:v>
                </c:pt>
                <c:pt idx="180">
                  <c:v>-0.94584535935652525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951639312"/>
        <c:axId val="-951638768"/>
      </c:lineChart>
      <c:catAx>
        <c:axId val="-951639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Electrical_Angle[deg]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51638768"/>
        <c:crosses val="autoZero"/>
        <c:auto val="1"/>
        <c:lblAlgn val="ctr"/>
        <c:lblOffset val="100"/>
        <c:noMultiLvlLbl val="0"/>
      </c:catAx>
      <c:valAx>
        <c:axId val="-95163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/>
                  <a:t>Wb</a:t>
                </a:r>
                <a:endParaRPr lang="ko-KR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95163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results_flux_dq0_그래프플롯!$L$1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results_flux_dq0_그래프플롯!$L$2:$L$182</c:f>
              <c:numCache>
                <c:formatCode>0.00E+00</c:formatCode>
                <c:ptCount val="181"/>
                <c:pt idx="0">
                  <c:v>-0.95498716672306505</c:v>
                </c:pt>
                <c:pt idx="1">
                  <c:v>-0.93467249328238899</c:v>
                </c:pt>
                <c:pt idx="2">
                  <c:v>-0.81283911217486449</c:v>
                </c:pt>
                <c:pt idx="3">
                  <c:v>-0.56127967304755799</c:v>
                </c:pt>
                <c:pt idx="4">
                  <c:v>-0.23256486875743726</c:v>
                </c:pt>
                <c:pt idx="5">
                  <c:v>0.18767333995914903</c:v>
                </c:pt>
                <c:pt idx="6">
                  <c:v>0.62161473345651341</c:v>
                </c:pt>
                <c:pt idx="7">
                  <c:v>1.0350524127701246</c:v>
                </c:pt>
                <c:pt idx="8">
                  <c:v>1.3774084578735253</c:v>
                </c:pt>
                <c:pt idx="9">
                  <c:v>1.6582209599741879</c:v>
                </c:pt>
                <c:pt idx="10">
                  <c:v>1.7984685279361476</c:v>
                </c:pt>
                <c:pt idx="11">
                  <c:v>1.8151321513836924</c:v>
                </c:pt>
                <c:pt idx="12">
                  <c:v>1.7201607960803353</c:v>
                </c:pt>
                <c:pt idx="13">
                  <c:v>1.4787983474124566</c:v>
                </c:pt>
                <c:pt idx="14">
                  <c:v>1.1734403181123501</c:v>
                </c:pt>
                <c:pt idx="15">
                  <c:v>0.79717369298090368</c:v>
                </c:pt>
                <c:pt idx="16">
                  <c:v>0.39868065287367077</c:v>
                </c:pt>
                <c:pt idx="17">
                  <c:v>-5.8059147310037806E-3</c:v>
                </c:pt>
                <c:pt idx="18">
                  <c:v>-0.36304710626684966</c:v>
                </c:pt>
                <c:pt idx="19">
                  <c:v>-0.62920494328509724</c:v>
                </c:pt>
                <c:pt idx="20">
                  <c:v>-0.77208971717358588</c:v>
                </c:pt>
                <c:pt idx="21">
                  <c:v>-0.83214131603853581</c:v>
                </c:pt>
                <c:pt idx="22">
                  <c:v>-0.83807462368037489</c:v>
                </c:pt>
                <c:pt idx="23">
                  <c:v>-0.75966700940152776</c:v>
                </c:pt>
                <c:pt idx="24">
                  <c:v>-0.66937877781229038</c:v>
                </c:pt>
                <c:pt idx="25">
                  <c:v>-0.62248030602090476</c:v>
                </c:pt>
                <c:pt idx="26">
                  <c:v>-0.57070225081981896</c:v>
                </c:pt>
                <c:pt idx="27">
                  <c:v>-0.56116616390579754</c:v>
                </c:pt>
                <c:pt idx="28">
                  <c:v>-0.6036369285316785</c:v>
                </c:pt>
                <c:pt idx="29">
                  <c:v>-0.66542444452000915</c:v>
                </c:pt>
                <c:pt idx="30">
                  <c:v>-0.70447175374456628</c:v>
                </c:pt>
                <c:pt idx="31">
                  <c:v>-0.6994520057609005</c:v>
                </c:pt>
                <c:pt idx="32">
                  <c:v>-0.60440557295215669</c:v>
                </c:pt>
                <c:pt idx="33">
                  <c:v>-0.38257850388035586</c:v>
                </c:pt>
                <c:pt idx="34">
                  <c:v>-6.5752015421202237E-2</c:v>
                </c:pt>
                <c:pt idx="35">
                  <c:v>0.27827565120112124</c:v>
                </c:pt>
                <c:pt idx="36">
                  <c:v>0.70268896918108747</c:v>
                </c:pt>
                <c:pt idx="37">
                  <c:v>1.0893646479789387</c:v>
                </c:pt>
                <c:pt idx="38">
                  <c:v>1.431077243174786</c:v>
                </c:pt>
                <c:pt idx="39">
                  <c:v>1.653140422742374</c:v>
                </c:pt>
                <c:pt idx="40">
                  <c:v>1.7531118688534506</c:v>
                </c:pt>
                <c:pt idx="41">
                  <c:v>1.7861145961282692</c:v>
                </c:pt>
                <c:pt idx="42">
                  <c:v>1.6651495888678252</c:v>
                </c:pt>
                <c:pt idx="43">
                  <c:v>1.4224827307501915</c:v>
                </c:pt>
                <c:pt idx="44">
                  <c:v>1.0950712138841179</c:v>
                </c:pt>
                <c:pt idx="45">
                  <c:v>0.70945239731300758</c:v>
                </c:pt>
                <c:pt idx="46">
                  <c:v>0.31056998083675924</c:v>
                </c:pt>
                <c:pt idx="47">
                  <c:v>-0.10879453785168203</c:v>
                </c:pt>
                <c:pt idx="48">
                  <c:v>-0.44219210971556278</c:v>
                </c:pt>
                <c:pt idx="49">
                  <c:v>-0.72934811783583275</c:v>
                </c:pt>
                <c:pt idx="50">
                  <c:v>-0.90445806501489279</c:v>
                </c:pt>
                <c:pt idx="51">
                  <c:v>-0.93945511326942421</c:v>
                </c:pt>
                <c:pt idx="52">
                  <c:v>-0.94163232480248715</c:v>
                </c:pt>
                <c:pt idx="53">
                  <c:v>-0.86118345997561851</c:v>
                </c:pt>
                <c:pt idx="54">
                  <c:v>-0.78761153625738556</c:v>
                </c:pt>
                <c:pt idx="55">
                  <c:v>-0.73415345086335915</c:v>
                </c:pt>
                <c:pt idx="56">
                  <c:v>-0.71522312231918095</c:v>
                </c:pt>
                <c:pt idx="57">
                  <c:v>-0.74937667879466818</c:v>
                </c:pt>
                <c:pt idx="58">
                  <c:v>-0.80665734313670612</c:v>
                </c:pt>
                <c:pt idx="59">
                  <c:v>-0.88867676300013831</c:v>
                </c:pt>
                <c:pt idx="60">
                  <c:v>-0.92694874156425522</c:v>
                </c:pt>
                <c:pt idx="61">
                  <c:v>-0.91483599447968666</c:v>
                </c:pt>
                <c:pt idx="62">
                  <c:v>-0.83870713279256004</c:v>
                </c:pt>
                <c:pt idx="63">
                  <c:v>-0.63615971843093311</c:v>
                </c:pt>
                <c:pt idx="64">
                  <c:v>-0.31705037248884976</c:v>
                </c:pt>
                <c:pt idx="65">
                  <c:v>3.8877288705874813E-2</c:v>
                </c:pt>
                <c:pt idx="66">
                  <c:v>0.47967494700587654</c:v>
                </c:pt>
                <c:pt idx="67">
                  <c:v>0.85916062474109633</c:v>
                </c:pt>
                <c:pt idx="68">
                  <c:v>1.1839700979759589</c:v>
                </c:pt>
                <c:pt idx="69">
                  <c:v>1.4134879434666952</c:v>
                </c:pt>
                <c:pt idx="70">
                  <c:v>1.5294716166059892</c:v>
                </c:pt>
                <c:pt idx="71">
                  <c:v>1.5237337648421592</c:v>
                </c:pt>
                <c:pt idx="72">
                  <c:v>1.3858291728110776</c:v>
                </c:pt>
                <c:pt idx="73">
                  <c:v>1.1349165105870545</c:v>
                </c:pt>
                <c:pt idx="74">
                  <c:v>0.80042744923578069</c:v>
                </c:pt>
                <c:pt idx="75">
                  <c:v>0.40815142104224666</c:v>
                </c:pt>
                <c:pt idx="76">
                  <c:v>-7.8105564324192356E-3</c:v>
                </c:pt>
                <c:pt idx="77">
                  <c:v>-0.40994223095598536</c:v>
                </c:pt>
                <c:pt idx="78">
                  <c:v>-0.78497414650243558</c:v>
                </c:pt>
                <c:pt idx="79">
                  <c:v>-1.0247001420107309</c:v>
                </c:pt>
                <c:pt idx="80">
                  <c:v>-1.1788226362339695</c:v>
                </c:pt>
                <c:pt idx="81">
                  <c:v>-1.1959151588661694</c:v>
                </c:pt>
                <c:pt idx="82">
                  <c:v>-1.1658384443509546</c:v>
                </c:pt>
                <c:pt idx="83">
                  <c:v>-1.083063042740352</c:v>
                </c:pt>
                <c:pt idx="84">
                  <c:v>-1.0086332330468415</c:v>
                </c:pt>
                <c:pt idx="85">
                  <c:v>-0.93172227654229356</c:v>
                </c:pt>
                <c:pt idx="86">
                  <c:v>-0.85793649535655325</c:v>
                </c:pt>
                <c:pt idx="87">
                  <c:v>-0.87157470126502157</c:v>
                </c:pt>
                <c:pt idx="88">
                  <c:v>-0.89139391607000829</c:v>
                </c:pt>
                <c:pt idx="89">
                  <c:v>-0.93182414224426779</c:v>
                </c:pt>
                <c:pt idx="90">
                  <c:v>-0.96153857846977819</c:v>
                </c:pt>
                <c:pt idx="91">
                  <c:v>-0.93043048528612149</c:v>
                </c:pt>
                <c:pt idx="92">
                  <c:v>-0.81346447255556242</c:v>
                </c:pt>
                <c:pt idx="93">
                  <c:v>-0.59934006399087858</c:v>
                </c:pt>
                <c:pt idx="94">
                  <c:v>-0.23339293057034738</c:v>
                </c:pt>
                <c:pt idx="95">
                  <c:v>0.17967496666541205</c:v>
                </c:pt>
                <c:pt idx="96">
                  <c:v>0.60828674361939095</c:v>
                </c:pt>
                <c:pt idx="97">
                  <c:v>1.033793378042448</c:v>
                </c:pt>
                <c:pt idx="98">
                  <c:v>1.3920139542698844</c:v>
                </c:pt>
                <c:pt idx="99">
                  <c:v>1.6490033153488786</c:v>
                </c:pt>
                <c:pt idx="100">
                  <c:v>1.7995098833401637</c:v>
                </c:pt>
                <c:pt idx="101">
                  <c:v>1.8199655944109441</c:v>
                </c:pt>
                <c:pt idx="102">
                  <c:v>1.718075329418314</c:v>
                </c:pt>
                <c:pt idx="103">
                  <c:v>1.5005720321846505</c:v>
                </c:pt>
                <c:pt idx="104">
                  <c:v>1.2099217176201953</c:v>
                </c:pt>
                <c:pt idx="105">
                  <c:v>0.79486346802960339</c:v>
                </c:pt>
                <c:pt idx="106">
                  <c:v>0.40164463140674506</c:v>
                </c:pt>
                <c:pt idx="107">
                  <c:v>-5.1454654347159456E-3</c:v>
                </c:pt>
                <c:pt idx="108">
                  <c:v>-0.34393224771684217</c:v>
                </c:pt>
                <c:pt idx="109">
                  <c:v>-0.61143662358655426</c:v>
                </c:pt>
                <c:pt idx="110">
                  <c:v>-0.76909812849575743</c:v>
                </c:pt>
                <c:pt idx="111">
                  <c:v>-0.83628660737661553</c:v>
                </c:pt>
                <c:pt idx="112">
                  <c:v>-0.80795945186384643</c:v>
                </c:pt>
                <c:pt idx="113">
                  <c:v>-0.74792892003537648</c:v>
                </c:pt>
                <c:pt idx="114">
                  <c:v>-0.66700192288966398</c:v>
                </c:pt>
                <c:pt idx="115">
                  <c:v>-0.59577027299304885</c:v>
                </c:pt>
                <c:pt idx="116">
                  <c:v>-0.55967956167093447</c:v>
                </c:pt>
                <c:pt idx="117">
                  <c:v>-0.56127933425914456</c:v>
                </c:pt>
                <c:pt idx="118">
                  <c:v>-0.60152794393266185</c:v>
                </c:pt>
                <c:pt idx="119">
                  <c:v>-0.66678120095042548</c:v>
                </c:pt>
                <c:pt idx="120">
                  <c:v>-0.71364221350495727</c:v>
                </c:pt>
                <c:pt idx="121">
                  <c:v>-0.70228177049971763</c:v>
                </c:pt>
                <c:pt idx="122">
                  <c:v>-0.63083887972388919</c:v>
                </c:pt>
                <c:pt idx="123">
                  <c:v>-0.38415102544694096</c:v>
                </c:pt>
                <c:pt idx="124">
                  <c:v>-0.1048073662466748</c:v>
                </c:pt>
                <c:pt idx="125">
                  <c:v>0.30592580941743508</c:v>
                </c:pt>
                <c:pt idx="126">
                  <c:v>0.71827959170130673</c:v>
                </c:pt>
                <c:pt idx="127">
                  <c:v>1.1011380922730716</c:v>
                </c:pt>
                <c:pt idx="128">
                  <c:v>1.4299286164068667</c:v>
                </c:pt>
                <c:pt idx="129">
                  <c:v>1.6692055051418551</c:v>
                </c:pt>
                <c:pt idx="130">
                  <c:v>1.7894559443205484</c:v>
                </c:pt>
                <c:pt idx="131">
                  <c:v>1.7905065301496483</c:v>
                </c:pt>
                <c:pt idx="132">
                  <c:v>1.6636010768103886</c:v>
                </c:pt>
                <c:pt idx="133">
                  <c:v>1.4304784582553713</c:v>
                </c:pt>
                <c:pt idx="134">
                  <c:v>1.1058424137627614</c:v>
                </c:pt>
                <c:pt idx="135">
                  <c:v>0.70529930913593775</c:v>
                </c:pt>
                <c:pt idx="136">
                  <c:v>0.29644982142472676</c:v>
                </c:pt>
                <c:pt idx="137">
                  <c:v>-0.11993588557129076</c:v>
                </c:pt>
                <c:pt idx="138">
                  <c:v>-0.45504805757586042</c:v>
                </c:pt>
                <c:pt idx="139">
                  <c:v>-0.71435271418002233</c:v>
                </c:pt>
                <c:pt idx="140">
                  <c:v>-0.86882595289783171</c:v>
                </c:pt>
                <c:pt idx="141">
                  <c:v>-0.91387557339892367</c:v>
                </c:pt>
                <c:pt idx="142">
                  <c:v>-0.93609757301553853</c:v>
                </c:pt>
                <c:pt idx="143">
                  <c:v>-0.85474556895175335</c:v>
                </c:pt>
                <c:pt idx="144">
                  <c:v>-0.80193214555288983</c:v>
                </c:pt>
                <c:pt idx="145">
                  <c:v>-0.75129010471303226</c:v>
                </c:pt>
                <c:pt idx="146">
                  <c:v>-0.72416406582185389</c:v>
                </c:pt>
                <c:pt idx="147">
                  <c:v>-0.74659299154261094</c:v>
                </c:pt>
                <c:pt idx="148">
                  <c:v>-0.82393947149760238</c:v>
                </c:pt>
                <c:pt idx="149">
                  <c:v>-0.88898780921627429</c:v>
                </c:pt>
                <c:pt idx="150">
                  <c:v>-0.94699191023752982</c:v>
                </c:pt>
                <c:pt idx="151">
                  <c:v>-0.95171420742971724</c:v>
                </c:pt>
                <c:pt idx="152">
                  <c:v>-0.85074586876525449</c:v>
                </c:pt>
                <c:pt idx="153">
                  <c:v>-0.65425463546560403</c:v>
                </c:pt>
                <c:pt idx="154">
                  <c:v>-0.30041591806863144</c:v>
                </c:pt>
                <c:pt idx="155">
                  <c:v>7.6272047109498142E-2</c:v>
                </c:pt>
                <c:pt idx="156">
                  <c:v>0.46623596683008839</c:v>
                </c:pt>
                <c:pt idx="157">
                  <c:v>0.86446529020222329</c:v>
                </c:pt>
                <c:pt idx="158">
                  <c:v>1.1920412035626924</c:v>
                </c:pt>
                <c:pt idx="159">
                  <c:v>1.4040413476974014</c:v>
                </c:pt>
                <c:pt idx="160">
                  <c:v>1.5261088035932697</c:v>
                </c:pt>
                <c:pt idx="161">
                  <c:v>1.5069748345389322</c:v>
                </c:pt>
                <c:pt idx="162">
                  <c:v>1.3869483170508037</c:v>
                </c:pt>
                <c:pt idx="163">
                  <c:v>1.1403758739124816</c:v>
                </c:pt>
                <c:pt idx="164">
                  <c:v>0.78186669919332674</c:v>
                </c:pt>
                <c:pt idx="165">
                  <c:v>0.40805083275823817</c:v>
                </c:pt>
                <c:pt idx="166">
                  <c:v>-1.6196995517116619E-2</c:v>
                </c:pt>
                <c:pt idx="167">
                  <c:v>-0.45123036487010115</c:v>
                </c:pt>
                <c:pt idx="168">
                  <c:v>-0.80031225726013999</c:v>
                </c:pt>
                <c:pt idx="169">
                  <c:v>-1.0318101662086441</c:v>
                </c:pt>
                <c:pt idx="170">
                  <c:v>-1.1810368095923114</c:v>
                </c:pt>
                <c:pt idx="171">
                  <c:v>-1.2302471268626722</c:v>
                </c:pt>
                <c:pt idx="172">
                  <c:v>-1.1883477283991177</c:v>
                </c:pt>
                <c:pt idx="173">
                  <c:v>-1.1098733032520358</c:v>
                </c:pt>
                <c:pt idx="174">
                  <c:v>-1.0145642440917944</c:v>
                </c:pt>
                <c:pt idx="175">
                  <c:v>-0.93700702993826401</c:v>
                </c:pt>
                <c:pt idx="176">
                  <c:v>-0.8776963531558013</c:v>
                </c:pt>
                <c:pt idx="177">
                  <c:v>-0.87359883567414964</c:v>
                </c:pt>
                <c:pt idx="178">
                  <c:v>-0.90242796861038188</c:v>
                </c:pt>
                <c:pt idx="179">
                  <c:v>-0.94598054566011103</c:v>
                </c:pt>
                <c:pt idx="180">
                  <c:v>-0.94821041350134305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1212192"/>
        <c:axId val="-101204576"/>
      </c:lineChart>
      <c:catAx>
        <c:axId val="-101212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01204576"/>
        <c:crosses val="autoZero"/>
        <c:auto val="1"/>
        <c:lblAlgn val="ctr"/>
        <c:lblOffset val="100"/>
        <c:noMultiLvlLbl val="0"/>
      </c:catAx>
      <c:valAx>
        <c:axId val="-1012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0121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200026</xdr:colOff>
      <xdr:row>17</xdr:row>
      <xdr:rowOff>19049</xdr:rowOff>
    </xdr:from>
    <xdr:to>
      <xdr:col>12</xdr:col>
      <xdr:colOff>209550</xdr:colOff>
      <xdr:row>34</xdr:row>
      <xdr:rowOff>180974</xdr:rowOff>
    </xdr:to>
    <xdr:graphicFrame macro="">
      <xdr:nvGraphicFramePr>
        <xdr:cNvPr id="6" name="차트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333375</xdr:colOff>
      <xdr:row>3</xdr:row>
      <xdr:rowOff>4762</xdr:rowOff>
    </xdr:from>
    <xdr:to>
      <xdr:col>9</xdr:col>
      <xdr:colOff>104775</xdr:colOff>
      <xdr:row>16</xdr:row>
      <xdr:rowOff>23812</xdr:rowOff>
    </xdr:to>
    <xdr:graphicFrame macro="">
      <xdr:nvGraphicFramePr>
        <xdr:cNvPr id="7" name="차트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abSelected="1" workbookViewId="0">
      <selection activeCell="J1" sqref="J1:J1048576"/>
    </sheetView>
  </sheetViews>
  <sheetFormatPr defaultRowHeight="16.5" x14ac:dyDescent="0.3"/>
  <cols>
    <col min="10" max="10" width="9.375" style="2" bestFit="1" customWidth="1"/>
    <col min="12" max="12" width="9.375" bestFit="1" customWidth="1"/>
  </cols>
  <sheetData>
    <row r="1" spans="1:12" x14ac:dyDescent="0.3">
      <c r="A1" t="s">
        <v>0</v>
      </c>
      <c r="B1" t="s">
        <v>7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>
        <f>AVERAGE(I2:I182)</f>
        <v>136.66766963239351</v>
      </c>
    </row>
    <row r="2" spans="1:12" x14ac:dyDescent="0.3">
      <c r="A2">
        <v>0</v>
      </c>
      <c r="B2">
        <v>0</v>
      </c>
      <c r="C2">
        <v>0.13303278154659801</v>
      </c>
      <c r="D2">
        <v>-7.0557704881810804E-2</v>
      </c>
      <c r="E2">
        <v>-7.0541993073053394E-2</v>
      </c>
      <c r="F2">
        <v>0.13572175368268599</v>
      </c>
      <c r="G2" s="1">
        <v>-9.0712170155530601E-6</v>
      </c>
      <c r="H2">
        <v>-2.6889721360886798E-3</v>
      </c>
      <c r="I2">
        <f>F2*1000</f>
        <v>135.721753682686</v>
      </c>
      <c r="J2" s="2">
        <f>G2*1000</f>
        <v>-9.0712170155530601E-3</v>
      </c>
      <c r="K2">
        <f>I2-$I$1</f>
        <v>-0.94591594970751203</v>
      </c>
      <c r="L2" s="1">
        <f>J2+K2</f>
        <v>-0.95498716672306505</v>
      </c>
    </row>
    <row r="3" spans="1:12" x14ac:dyDescent="0.3">
      <c r="A3">
        <v>0.5</v>
      </c>
      <c r="B3">
        <v>2</v>
      </c>
      <c r="C3">
        <v>0.13300084224293501</v>
      </c>
      <c r="D3">
        <v>-6.63978661988016E-2</v>
      </c>
      <c r="E3">
        <v>-7.4584685759676403E-2</v>
      </c>
      <c r="F3">
        <v>0.135743729022824</v>
      </c>
      <c r="G3" s="1">
        <v>-1.07318837128759E-5</v>
      </c>
      <c r="H3">
        <v>-2.6605699051807201E-3</v>
      </c>
      <c r="I3">
        <f t="shared" ref="I3:I48" si="0">F3*1000</f>
        <v>135.743729022824</v>
      </c>
      <c r="J3" s="2">
        <f t="shared" ref="J3:J48" si="1">G3*1000</f>
        <v>-1.07318837128759E-2</v>
      </c>
      <c r="K3">
        <f t="shared" ref="K3:K66" si="2">I3-$I$1</f>
        <v>-0.92394060956951307</v>
      </c>
      <c r="L3" s="1">
        <f t="shared" ref="L3:L68" si="3">J3+K3</f>
        <v>-0.93467249328238899</v>
      </c>
    </row>
    <row r="4" spans="1:12" x14ac:dyDescent="0.3">
      <c r="A4">
        <v>1</v>
      </c>
      <c r="B4">
        <v>4</v>
      </c>
      <c r="C4">
        <v>0.132905962674737</v>
      </c>
      <c r="D4">
        <v>-6.21113608826874E-2</v>
      </c>
      <c r="E4">
        <v>-7.8566622329859503E-2</v>
      </c>
      <c r="F4">
        <v>0.135829291056526</v>
      </c>
      <c r="G4" s="1">
        <v>2.5539463692658601E-5</v>
      </c>
      <c r="H4">
        <v>-2.5906735126030199E-3</v>
      </c>
      <c r="I4">
        <f t="shared" si="0"/>
        <v>135.82929105652599</v>
      </c>
      <c r="J4" s="2">
        <f t="shared" si="1"/>
        <v>2.5539463692658602E-2</v>
      </c>
      <c r="K4">
        <f t="shared" si="2"/>
        <v>-0.83837857586752307</v>
      </c>
      <c r="L4" s="1">
        <f t="shared" si="3"/>
        <v>-0.81283911217486449</v>
      </c>
    </row>
    <row r="5" spans="1:12" x14ac:dyDescent="0.3">
      <c r="A5">
        <v>1.5</v>
      </c>
      <c r="B5">
        <v>6</v>
      </c>
      <c r="C5">
        <v>0.132711903013643</v>
      </c>
      <c r="D5">
        <v>-5.7673214262360099E-2</v>
      </c>
      <c r="E5">
        <v>-8.25286160033748E-2</v>
      </c>
      <c r="F5">
        <v>0.135967870844276</v>
      </c>
      <c r="G5">
        <v>1.3851911506994701E-4</v>
      </c>
      <c r="H5">
        <v>-2.4966424173638599E-3</v>
      </c>
      <c r="I5">
        <f t="shared" si="0"/>
        <v>135.96787084427601</v>
      </c>
      <c r="J5" s="2">
        <f t="shared" si="1"/>
        <v>0.13851911506994702</v>
      </c>
      <c r="K5">
        <f t="shared" si="2"/>
        <v>-0.69979878811750496</v>
      </c>
      <c r="L5" s="1">
        <f t="shared" si="3"/>
        <v>-0.56127967304755799</v>
      </c>
    </row>
    <row r="6" spans="1:12" x14ac:dyDescent="0.3">
      <c r="A6">
        <v>2</v>
      </c>
      <c r="B6">
        <v>8</v>
      </c>
      <c r="C6">
        <v>0.13235366254429201</v>
      </c>
      <c r="D6">
        <v>-5.31241263987626E-2</v>
      </c>
      <c r="E6">
        <v>-8.64605730251745E-2</v>
      </c>
      <c r="F6">
        <v>0.136131131842151</v>
      </c>
      <c r="G6">
        <v>3.03972921485068E-4</v>
      </c>
      <c r="H6">
        <v>-2.41034562654819E-3</v>
      </c>
      <c r="I6">
        <f t="shared" si="0"/>
        <v>136.13113184215101</v>
      </c>
      <c r="J6" s="2">
        <f t="shared" si="1"/>
        <v>0.30397292148506799</v>
      </c>
      <c r="K6">
        <f t="shared" si="2"/>
        <v>-0.53653779024250525</v>
      </c>
      <c r="L6" s="1">
        <f t="shared" si="3"/>
        <v>-0.23256486875743726</v>
      </c>
    </row>
    <row r="7" spans="1:12" x14ac:dyDescent="0.3">
      <c r="A7">
        <v>2.5</v>
      </c>
      <c r="B7">
        <v>10</v>
      </c>
      <c r="C7">
        <v>0.131804864923215</v>
      </c>
      <c r="D7">
        <v>-4.8441730523488699E-2</v>
      </c>
      <c r="E7">
        <v>-9.0373103763406903E-2</v>
      </c>
      <c r="F7">
        <v>0.136307474550487</v>
      </c>
      <c r="G7">
        <v>5.4786842186565999E-4</v>
      </c>
      <c r="H7">
        <v>-2.3366564545599399E-3</v>
      </c>
      <c r="I7">
        <f t="shared" si="0"/>
        <v>136.307474550487</v>
      </c>
      <c r="J7" s="2">
        <f t="shared" si="1"/>
        <v>0.54786842186565998</v>
      </c>
      <c r="K7">
        <f t="shared" si="2"/>
        <v>-0.36019508190651095</v>
      </c>
      <c r="L7" s="1">
        <f t="shared" si="3"/>
        <v>0.18767333995914903</v>
      </c>
    </row>
    <row r="8" spans="1:12" x14ac:dyDescent="0.3">
      <c r="A8">
        <v>3</v>
      </c>
      <c r="B8">
        <v>12</v>
      </c>
      <c r="C8">
        <v>0.13103439642025999</v>
      </c>
      <c r="D8">
        <v>-4.3718574157468798E-2</v>
      </c>
      <c r="E8">
        <v>-9.42277819488688E-2</v>
      </c>
      <c r="F8">
        <v>0.136487637151917</v>
      </c>
      <c r="G8">
        <v>8.0164721393302598E-4</v>
      </c>
      <c r="H8">
        <v>-2.30398656202568E-3</v>
      </c>
      <c r="I8">
        <f t="shared" si="0"/>
        <v>136.487637151917</v>
      </c>
      <c r="J8" s="2">
        <f t="shared" si="1"/>
        <v>0.80164721393302596</v>
      </c>
      <c r="K8">
        <f t="shared" si="2"/>
        <v>-0.18003248047651255</v>
      </c>
      <c r="L8" s="1">
        <f t="shared" si="3"/>
        <v>0.62161473345651341</v>
      </c>
    </row>
    <row r="9" spans="1:12" x14ac:dyDescent="0.3">
      <c r="A9">
        <v>3.5</v>
      </c>
      <c r="B9">
        <v>14</v>
      </c>
      <c r="C9">
        <v>0.130046902387145</v>
      </c>
      <c r="D9">
        <v>-3.8933492041742103E-2</v>
      </c>
      <c r="E9">
        <v>-9.7966938896410297E-2</v>
      </c>
      <c r="F9">
        <v>0.13664602168894799</v>
      </c>
      <c r="G9">
        <v>1.0567003562156399E-3</v>
      </c>
      <c r="H9">
        <v>-2.28450951700248E-3</v>
      </c>
      <c r="I9">
        <f t="shared" si="0"/>
        <v>136.646021688948</v>
      </c>
      <c r="J9" s="2">
        <f t="shared" si="1"/>
        <v>1.0567003562156398</v>
      </c>
      <c r="K9">
        <f t="shared" si="2"/>
        <v>-2.1647943445515239E-2</v>
      </c>
      <c r="L9" s="1">
        <f t="shared" si="3"/>
        <v>1.0350524127701246</v>
      </c>
    </row>
    <row r="10" spans="1:12" x14ac:dyDescent="0.3">
      <c r="A10">
        <v>4</v>
      </c>
      <c r="B10">
        <v>16</v>
      </c>
      <c r="C10">
        <v>0.12887548413306199</v>
      </c>
      <c r="D10">
        <v>-3.4143584888366003E-2</v>
      </c>
      <c r="E10">
        <v>-0.101539552916128</v>
      </c>
      <c r="F10">
        <v>0.136789725961696</v>
      </c>
      <c r="G10">
        <v>1.2553521285710301E-3</v>
      </c>
      <c r="H10">
        <v>-2.2692178904772202E-3</v>
      </c>
      <c r="I10">
        <f t="shared" si="0"/>
        <v>136.78972596169601</v>
      </c>
      <c r="J10" s="2">
        <f t="shared" si="1"/>
        <v>1.2553521285710301</v>
      </c>
      <c r="K10">
        <f t="shared" si="2"/>
        <v>0.12205632930249521</v>
      </c>
      <c r="L10" s="1">
        <f t="shared" si="3"/>
        <v>1.3774084578735253</v>
      </c>
    </row>
    <row r="11" spans="1:12" x14ac:dyDescent="0.3">
      <c r="A11">
        <v>4.5</v>
      </c>
      <c r="B11">
        <v>18</v>
      </c>
      <c r="C11">
        <v>0.12758463551917201</v>
      </c>
      <c r="D11">
        <v>-2.92481820148533E-2</v>
      </c>
      <c r="E11">
        <v>-0.10486796997558399</v>
      </c>
      <c r="F11">
        <v>0.13690221814091899</v>
      </c>
      <c r="G11">
        <v>1.42367245144871E-3</v>
      </c>
      <c r="H11">
        <v>-2.17717215708848E-3</v>
      </c>
      <c r="I11">
        <f t="shared" si="0"/>
        <v>136.90221814091899</v>
      </c>
      <c r="J11" s="2">
        <f t="shared" si="1"/>
        <v>1.42367245144871</v>
      </c>
      <c r="K11">
        <f t="shared" si="2"/>
        <v>0.23454850852547793</v>
      </c>
      <c r="L11" s="1">
        <f t="shared" si="3"/>
        <v>1.6582209599741879</v>
      </c>
    </row>
    <row r="12" spans="1:12" x14ac:dyDescent="0.3">
      <c r="A12">
        <v>5</v>
      </c>
      <c r="B12">
        <v>20</v>
      </c>
      <c r="C12">
        <v>0.12620655063157701</v>
      </c>
      <c r="D12">
        <v>-2.4352763869590899E-2</v>
      </c>
      <c r="E12">
        <v>-0.107907115506788</v>
      </c>
      <c r="F12">
        <v>0.13699054906494401</v>
      </c>
      <c r="G12">
        <v>1.4755890953856399E-3</v>
      </c>
      <c r="H12">
        <v>-2.0177762482671601E-3</v>
      </c>
      <c r="I12">
        <f t="shared" si="0"/>
        <v>136.99054906494402</v>
      </c>
      <c r="J12" s="2">
        <f t="shared" si="1"/>
        <v>1.4755890953856399</v>
      </c>
      <c r="K12">
        <f t="shared" si="2"/>
        <v>0.32287943255050777</v>
      </c>
      <c r="L12" s="1">
        <f t="shared" si="3"/>
        <v>1.7984685279361476</v>
      </c>
    </row>
    <row r="13" spans="1:12" x14ac:dyDescent="0.3">
      <c r="A13">
        <v>5.5</v>
      </c>
      <c r="B13">
        <v>22</v>
      </c>
      <c r="C13">
        <v>0.124800587365135</v>
      </c>
      <c r="D13">
        <v>-1.9448113705942301E-2</v>
      </c>
      <c r="E13">
        <v>-0.110648643198932</v>
      </c>
      <c r="F13">
        <v>0.13707470976695799</v>
      </c>
      <c r="G13">
        <v>1.40809201681921E-3</v>
      </c>
      <c r="H13">
        <v>-1.7653898465797399E-3</v>
      </c>
      <c r="I13">
        <f t="shared" si="0"/>
        <v>137.07470976695799</v>
      </c>
      <c r="J13" s="2">
        <f t="shared" si="1"/>
        <v>1.4080920168192099</v>
      </c>
      <c r="K13">
        <f t="shared" si="2"/>
        <v>0.40704013456448251</v>
      </c>
      <c r="L13" s="1">
        <f t="shared" si="3"/>
        <v>1.8151321513836924</v>
      </c>
    </row>
    <row r="14" spans="1:12" x14ac:dyDescent="0.3">
      <c r="A14">
        <v>6</v>
      </c>
      <c r="B14">
        <v>24</v>
      </c>
      <c r="C14">
        <v>0.12337865852511801</v>
      </c>
      <c r="D14">
        <v>-1.45223902251804E-2</v>
      </c>
      <c r="E14">
        <v>-0.113099177974891</v>
      </c>
      <c r="F14">
        <v>0.137152782153596</v>
      </c>
      <c r="G14">
        <v>1.23504827487784E-3</v>
      </c>
      <c r="H14">
        <v>-1.4143032249846099E-3</v>
      </c>
      <c r="I14">
        <f t="shared" si="0"/>
        <v>137.15278215359601</v>
      </c>
      <c r="J14" s="2">
        <f t="shared" si="1"/>
        <v>1.23504827487784</v>
      </c>
      <c r="K14">
        <f t="shared" si="2"/>
        <v>0.48511252120249537</v>
      </c>
      <c r="L14" s="1">
        <f t="shared" si="3"/>
        <v>1.7201607960803353</v>
      </c>
    </row>
    <row r="15" spans="1:12" x14ac:dyDescent="0.3">
      <c r="A15">
        <v>6.5</v>
      </c>
      <c r="B15">
        <v>26</v>
      </c>
      <c r="C15">
        <v>0.121940266590985</v>
      </c>
      <c r="D15">
        <v>-9.6235201666199401E-3</v>
      </c>
      <c r="E15">
        <v>-0.115257796558576</v>
      </c>
      <c r="F15">
        <v>0.13721568821660299</v>
      </c>
      <c r="G15">
        <v>9.3077976320298395E-4</v>
      </c>
      <c r="H15">
        <v>-9.8035004473699607E-4</v>
      </c>
      <c r="I15">
        <f t="shared" si="0"/>
        <v>137.21568821660298</v>
      </c>
      <c r="J15" s="2">
        <f t="shared" si="1"/>
        <v>0.93077976320298395</v>
      </c>
      <c r="K15">
        <f t="shared" si="2"/>
        <v>0.54801858420947269</v>
      </c>
      <c r="L15" s="1">
        <f t="shared" si="3"/>
        <v>1.4787983474124566</v>
      </c>
    </row>
    <row r="16" spans="1:12" x14ac:dyDescent="0.3">
      <c r="A16">
        <v>7</v>
      </c>
      <c r="B16">
        <v>28</v>
      </c>
      <c r="C16">
        <v>0.120476392435754</v>
      </c>
      <c r="D16">
        <v>-4.6784164649859902E-3</v>
      </c>
      <c r="E16">
        <v>-0.117172482618411</v>
      </c>
      <c r="F16">
        <v>0.13727034392262299</v>
      </c>
      <c r="G16">
        <v>5.7076602788286301E-4</v>
      </c>
      <c r="H16">
        <v>-4.5816888254749202E-4</v>
      </c>
      <c r="I16">
        <f t="shared" si="0"/>
        <v>137.270343922623</v>
      </c>
      <c r="J16" s="2">
        <f t="shared" si="1"/>
        <v>0.57076602788286301</v>
      </c>
      <c r="K16">
        <f t="shared" si="2"/>
        <v>0.60267429022948704</v>
      </c>
      <c r="L16" s="1">
        <f t="shared" si="3"/>
        <v>1.1734403181123501</v>
      </c>
    </row>
    <row r="17" spans="1:12" x14ac:dyDescent="0.3">
      <c r="A17">
        <v>7.5</v>
      </c>
      <c r="B17">
        <v>30</v>
      </c>
      <c r="C17">
        <v>0.118911697856929</v>
      </c>
      <c r="D17">
        <v>2.7661835178750398E-4</v>
      </c>
      <c r="E17">
        <v>-0.118882082253812</v>
      </c>
      <c r="F17">
        <v>0.13729030295855499</v>
      </c>
      <c r="G17">
        <v>1.74540366819441E-4</v>
      </c>
      <c r="H17">
        <v>1.02077984968099E-4</v>
      </c>
      <c r="I17">
        <f t="shared" si="0"/>
        <v>137.29030295855497</v>
      </c>
      <c r="J17" s="2">
        <f t="shared" si="1"/>
        <v>0.17454036681944099</v>
      </c>
      <c r="K17">
        <f t="shared" si="2"/>
        <v>0.62263332616146272</v>
      </c>
      <c r="L17" s="1">
        <f t="shared" si="3"/>
        <v>0.79717369298090368</v>
      </c>
    </row>
    <row r="18" spans="1:12" x14ac:dyDescent="0.3">
      <c r="A18">
        <v>8</v>
      </c>
      <c r="B18">
        <v>32</v>
      </c>
      <c r="C18">
        <v>0.117202540955667</v>
      </c>
      <c r="D18">
        <v>5.2361663183745702E-3</v>
      </c>
      <c r="E18">
        <v>-0.120449567087861</v>
      </c>
      <c r="F18">
        <v>0.137284524408292</v>
      </c>
      <c r="G18">
        <v>-2.1817412302483201E-4</v>
      </c>
      <c r="H18">
        <v>6.6304672872694005E-4</v>
      </c>
      <c r="I18">
        <f t="shared" si="0"/>
        <v>137.28452440829201</v>
      </c>
      <c r="J18" s="2">
        <f t="shared" si="1"/>
        <v>-0.21817412302483202</v>
      </c>
      <c r="K18">
        <f t="shared" si="2"/>
        <v>0.61685477589850279</v>
      </c>
      <c r="L18" s="1">
        <f t="shared" si="3"/>
        <v>0.39868065287367077</v>
      </c>
    </row>
    <row r="19" spans="1:12" x14ac:dyDescent="0.3">
      <c r="A19">
        <v>8.5</v>
      </c>
      <c r="B19">
        <v>34</v>
      </c>
      <c r="C19">
        <v>0.11528693272442</v>
      </c>
      <c r="D19">
        <v>1.0174260250607799E-2</v>
      </c>
      <c r="E19">
        <v>-0.12191764744278701</v>
      </c>
      <c r="F19">
        <v>0.13724385002105599</v>
      </c>
      <c r="G19">
        <v>-5.8198630339349701E-4</v>
      </c>
      <c r="H19">
        <v>1.1811818440803301E-3</v>
      </c>
      <c r="I19">
        <f t="shared" si="0"/>
        <v>137.24385002105601</v>
      </c>
      <c r="J19" s="2">
        <f t="shared" si="1"/>
        <v>-0.581986303393497</v>
      </c>
      <c r="K19">
        <f t="shared" si="2"/>
        <v>0.57618038866249321</v>
      </c>
      <c r="L19" s="1">
        <f t="shared" si="3"/>
        <v>-5.8059147310037806E-3</v>
      </c>
    </row>
    <row r="20" spans="1:12" x14ac:dyDescent="0.3">
      <c r="A20">
        <v>9</v>
      </c>
      <c r="B20">
        <v>36</v>
      </c>
      <c r="C20">
        <v>0.113131871391938</v>
      </c>
      <c r="D20">
        <v>1.5072546996381501E-2</v>
      </c>
      <c r="E20">
        <v>-0.123354762232672</v>
      </c>
      <c r="F20">
        <v>0.13719419963521401</v>
      </c>
      <c r="G20">
        <v>-8.8957710908734301E-4</v>
      </c>
      <c r="H20">
        <v>1.61655205188272E-3</v>
      </c>
      <c r="I20">
        <f t="shared" si="0"/>
        <v>137.19419963521401</v>
      </c>
      <c r="J20" s="2">
        <f t="shared" si="1"/>
        <v>-0.889577109087343</v>
      </c>
      <c r="K20">
        <f t="shared" si="2"/>
        <v>0.52653000282049334</v>
      </c>
      <c r="L20" s="1">
        <f t="shared" si="3"/>
        <v>-0.36304710626684966</v>
      </c>
    </row>
    <row r="21" spans="1:12" x14ac:dyDescent="0.3">
      <c r="A21">
        <v>9.5</v>
      </c>
      <c r="B21">
        <v>38</v>
      </c>
      <c r="C21">
        <v>0.110689027639302</v>
      </c>
      <c r="D21">
        <v>1.99629322460552E-2</v>
      </c>
      <c r="E21">
        <v>-0.12477704511616999</v>
      </c>
      <c r="F21">
        <v>0.137129139282164</v>
      </c>
      <c r="G21">
        <v>-1.0906745930555899E-3</v>
      </c>
      <c r="H21">
        <v>1.9583049230623901E-3</v>
      </c>
      <c r="I21">
        <f t="shared" si="0"/>
        <v>137.129139282164</v>
      </c>
      <c r="J21" s="2">
        <f t="shared" si="1"/>
        <v>-1.0906745930555899</v>
      </c>
      <c r="K21">
        <f t="shared" si="2"/>
        <v>0.46146964977049265</v>
      </c>
      <c r="L21" s="1">
        <f t="shared" si="3"/>
        <v>-0.62920494328509724</v>
      </c>
    </row>
    <row r="22" spans="1:12" x14ac:dyDescent="0.3">
      <c r="A22">
        <v>10</v>
      </c>
      <c r="B22">
        <v>40</v>
      </c>
      <c r="C22">
        <v>0.107940942934152</v>
      </c>
      <c r="D22">
        <v>2.48654840585728E-2</v>
      </c>
      <c r="E22">
        <v>-0.12618532646376501</v>
      </c>
      <c r="F22">
        <v>0.13705388376184499</v>
      </c>
      <c r="G22">
        <v>-1.1583038466250601E-3</v>
      </c>
      <c r="H22">
        <v>2.2070335096532299E-3</v>
      </c>
      <c r="I22">
        <f t="shared" si="0"/>
        <v>137.05388376184499</v>
      </c>
      <c r="J22" s="2">
        <f t="shared" si="1"/>
        <v>-1.1583038466250601</v>
      </c>
      <c r="K22">
        <f t="shared" si="2"/>
        <v>0.38621412945147426</v>
      </c>
      <c r="L22" s="1">
        <f t="shared" si="3"/>
        <v>-0.77208971717358588</v>
      </c>
    </row>
    <row r="23" spans="1:12" x14ac:dyDescent="0.3">
      <c r="A23">
        <v>10.5</v>
      </c>
      <c r="B23">
        <v>42</v>
      </c>
      <c r="C23">
        <v>0.104899964857634</v>
      </c>
      <c r="D23">
        <v>2.97307795813667E-2</v>
      </c>
      <c r="E23">
        <v>-0.127553459985845</v>
      </c>
      <c r="F23">
        <v>0.13696519468288901</v>
      </c>
      <c r="G23">
        <v>-1.12966636653403E-3</v>
      </c>
      <c r="H23">
        <v>2.3590948177185499E-3</v>
      </c>
      <c r="I23">
        <f t="shared" si="0"/>
        <v>136.96519468288901</v>
      </c>
      <c r="J23" s="2">
        <f t="shared" si="1"/>
        <v>-1.1296663665340301</v>
      </c>
      <c r="K23">
        <f t="shared" si="2"/>
        <v>0.29752505049549427</v>
      </c>
      <c r="L23" s="1">
        <f t="shared" si="3"/>
        <v>-0.83214131603853581</v>
      </c>
    </row>
    <row r="24" spans="1:12" x14ac:dyDescent="0.3">
      <c r="A24">
        <v>11</v>
      </c>
      <c r="B24">
        <v>44</v>
      </c>
      <c r="C24">
        <v>0.101614533621253</v>
      </c>
      <c r="D24">
        <v>3.4534301887794099E-2</v>
      </c>
      <c r="E24">
        <v>-0.12884908513189799</v>
      </c>
      <c r="F24">
        <v>0.13687178146434201</v>
      </c>
      <c r="G24">
        <v>-1.04218645562887E-3</v>
      </c>
      <c r="H24">
        <v>2.4332501257165302E-3</v>
      </c>
      <c r="I24">
        <f t="shared" si="0"/>
        <v>136.87178146434201</v>
      </c>
      <c r="J24" s="2">
        <f t="shared" si="1"/>
        <v>-1.04218645562887</v>
      </c>
      <c r="K24">
        <f t="shared" si="2"/>
        <v>0.20411183194849514</v>
      </c>
      <c r="L24" s="1">
        <f t="shared" si="3"/>
        <v>-0.83807462368037489</v>
      </c>
    </row>
    <row r="25" spans="1:12" x14ac:dyDescent="0.3">
      <c r="A25">
        <v>11.5</v>
      </c>
      <c r="B25">
        <v>46</v>
      </c>
      <c r="C25">
        <v>9.8049248985339996E-2</v>
      </c>
      <c r="D25">
        <v>3.9343983930216403E-2</v>
      </c>
      <c r="E25">
        <v>-0.130024065265302</v>
      </c>
      <c r="F25">
        <v>0.136744798708447</v>
      </c>
      <c r="G25">
        <v>-8.3679608545502305E-4</v>
      </c>
      <c r="H25">
        <v>2.4563892167512799E-3</v>
      </c>
      <c r="I25">
        <f t="shared" si="0"/>
        <v>136.74479870844701</v>
      </c>
      <c r="J25" s="2">
        <f t="shared" si="1"/>
        <v>-0.83679608545502304</v>
      </c>
      <c r="K25">
        <f t="shared" si="2"/>
        <v>7.7129076053495282E-2</v>
      </c>
      <c r="L25" s="1">
        <f t="shared" si="3"/>
        <v>-0.75966700940152776</v>
      </c>
    </row>
    <row r="26" spans="1:12" x14ac:dyDescent="0.3">
      <c r="A26">
        <v>12</v>
      </c>
      <c r="B26">
        <v>48</v>
      </c>
      <c r="C26">
        <v>9.4297776011022905E-2</v>
      </c>
      <c r="D26">
        <v>4.4108992360396997E-2</v>
      </c>
      <c r="E26">
        <v>-0.131018947188527</v>
      </c>
      <c r="F26">
        <v>0.136589216751861</v>
      </c>
      <c r="G26">
        <v>-5.9092589727979502E-4</v>
      </c>
      <c r="H26">
        <v>2.4626070609640701E-3</v>
      </c>
      <c r="I26">
        <f t="shared" si="0"/>
        <v>136.58921675186102</v>
      </c>
      <c r="J26" s="2">
        <f t="shared" si="1"/>
        <v>-0.59092589727979505</v>
      </c>
      <c r="K26">
        <f t="shared" si="2"/>
        <v>-7.8452880532495328E-2</v>
      </c>
      <c r="L26" s="1">
        <f t="shared" si="3"/>
        <v>-0.66937877781229038</v>
      </c>
    </row>
    <row r="27" spans="1:12" x14ac:dyDescent="0.3">
      <c r="A27">
        <v>12.5</v>
      </c>
      <c r="B27">
        <v>50</v>
      </c>
      <c r="C27">
        <v>9.0464421814560603E-2</v>
      </c>
      <c r="D27">
        <v>4.88054726284241E-2</v>
      </c>
      <c r="E27">
        <v>-0.131781918406572</v>
      </c>
      <c r="F27">
        <v>0.13641447943794799</v>
      </c>
      <c r="G27">
        <v>-3.69290111575382E-4</v>
      </c>
      <c r="H27">
        <v>2.49599201213733E-3</v>
      </c>
      <c r="I27">
        <f t="shared" si="0"/>
        <v>136.41447943794799</v>
      </c>
      <c r="J27" s="2">
        <f t="shared" si="1"/>
        <v>-0.369290111575382</v>
      </c>
      <c r="K27">
        <f t="shared" si="2"/>
        <v>-0.25319019444552282</v>
      </c>
      <c r="L27" s="1">
        <f t="shared" si="3"/>
        <v>-0.62248030602090476</v>
      </c>
    </row>
    <row r="28" spans="1:12" x14ac:dyDescent="0.3">
      <c r="A28">
        <v>13</v>
      </c>
      <c r="B28">
        <v>52</v>
      </c>
      <c r="C28">
        <v>8.6540017974768402E-2</v>
      </c>
      <c r="D28">
        <v>5.3460353803405997E-2</v>
      </c>
      <c r="E28">
        <v>-0.13233658095284201</v>
      </c>
      <c r="F28">
        <v>0.136236431070794</v>
      </c>
      <c r="G28">
        <v>-1.39463689220305E-4</v>
      </c>
      <c r="H28">
        <v>2.55459694177729E-3</v>
      </c>
      <c r="I28">
        <f t="shared" si="0"/>
        <v>136.236431070794</v>
      </c>
      <c r="J28" s="2">
        <f t="shared" si="1"/>
        <v>-0.139463689220305</v>
      </c>
      <c r="K28">
        <f t="shared" si="2"/>
        <v>-0.43123856159951401</v>
      </c>
      <c r="L28" s="1">
        <f t="shared" si="3"/>
        <v>-0.57070225081981896</v>
      </c>
    </row>
    <row r="29" spans="1:12" x14ac:dyDescent="0.3">
      <c r="A29">
        <v>13.5</v>
      </c>
      <c r="B29">
        <v>54</v>
      </c>
      <c r="C29">
        <v>8.2597334731494498E-2</v>
      </c>
      <c r="D29">
        <v>5.8016425463275699E-2</v>
      </c>
      <c r="E29">
        <v>-0.13269169899632699</v>
      </c>
      <c r="F29">
        <v>0.13607446757032701</v>
      </c>
      <c r="G29" s="1">
        <v>3.20358981606982E-5</v>
      </c>
      <c r="H29">
        <v>2.6406870661476799E-3</v>
      </c>
      <c r="I29">
        <f t="shared" si="0"/>
        <v>136.07446757032702</v>
      </c>
      <c r="J29" s="2">
        <f t="shared" si="1"/>
        <v>3.2035898160698198E-2</v>
      </c>
      <c r="K29">
        <f t="shared" si="2"/>
        <v>-0.59320206206649573</v>
      </c>
      <c r="L29" s="1">
        <f t="shared" si="3"/>
        <v>-0.56116616390579754</v>
      </c>
    </row>
    <row r="30" spans="1:12" x14ac:dyDescent="0.3">
      <c r="A30">
        <v>14</v>
      </c>
      <c r="B30">
        <v>56</v>
      </c>
      <c r="C30">
        <v>7.8657046387075699E-2</v>
      </c>
      <c r="D30">
        <v>6.2427946804359903E-2</v>
      </c>
      <c r="E30">
        <v>-0.132897993598389</v>
      </c>
      <c r="F30">
        <v>0.13595022236356699</v>
      </c>
      <c r="G30">
        <v>1.13810340294854E-4</v>
      </c>
      <c r="H30">
        <v>2.7289998643486402E-3</v>
      </c>
      <c r="I30">
        <f t="shared" si="0"/>
        <v>135.95022236356698</v>
      </c>
      <c r="J30" s="2">
        <f t="shared" si="1"/>
        <v>0.113810340294854</v>
      </c>
      <c r="K30">
        <f t="shared" si="2"/>
        <v>-0.71744726882653254</v>
      </c>
      <c r="L30" s="1">
        <f t="shared" si="3"/>
        <v>-0.6036369285316785</v>
      </c>
    </row>
    <row r="31" spans="1:12" x14ac:dyDescent="0.3">
      <c r="A31">
        <v>14.5</v>
      </c>
      <c r="B31">
        <v>58</v>
      </c>
      <c r="C31">
        <v>7.4693786932637202E-2</v>
      </c>
      <c r="D31">
        <v>6.670000355663E-2</v>
      </c>
      <c r="E31">
        <v>-0.132998684531903</v>
      </c>
      <c r="F31">
        <v>0.135875397898987</v>
      </c>
      <c r="G31">
        <v>1.2684728888648499E-4</v>
      </c>
      <c r="H31">
        <v>2.7983686524545299E-3</v>
      </c>
      <c r="I31">
        <f t="shared" si="0"/>
        <v>135.87539789898702</v>
      </c>
      <c r="J31" s="2">
        <f t="shared" si="1"/>
        <v>0.126847288886485</v>
      </c>
      <c r="K31">
        <f t="shared" si="2"/>
        <v>-0.79227173340649415</v>
      </c>
      <c r="L31" s="1">
        <f t="shared" si="3"/>
        <v>-0.66542444452000915</v>
      </c>
    </row>
    <row r="32" spans="1:12" x14ac:dyDescent="0.3">
      <c r="A32">
        <v>15</v>
      </c>
      <c r="B32">
        <v>60</v>
      </c>
      <c r="C32">
        <v>7.0657013068829794E-2</v>
      </c>
      <c r="D32">
        <v>7.0843319263663496E-2</v>
      </c>
      <c r="E32">
        <v>-0.13303328475411799</v>
      </c>
      <c r="F32">
        <v>0.13585563394691</v>
      </c>
      <c r="G32">
        <v>1.07563931738956E-4</v>
      </c>
      <c r="H32">
        <v>2.8223491927914998E-3</v>
      </c>
      <c r="I32">
        <f t="shared" si="0"/>
        <v>135.85563394690999</v>
      </c>
      <c r="J32" s="2">
        <f t="shared" si="1"/>
        <v>0.107563931738956</v>
      </c>
      <c r="K32">
        <f t="shared" si="2"/>
        <v>-0.81203568548352223</v>
      </c>
      <c r="L32" s="1">
        <f t="shared" si="3"/>
        <v>-0.70447175374456628</v>
      </c>
    </row>
    <row r="33" spans="1:12" x14ac:dyDescent="0.3">
      <c r="A33">
        <v>15.5</v>
      </c>
      <c r="B33">
        <v>62</v>
      </c>
      <c r="C33">
        <v>6.65138828401486E-2</v>
      </c>
      <c r="D33">
        <v>7.4865148351245706E-2</v>
      </c>
      <c r="E33">
        <v>-0.133015702443464</v>
      </c>
      <c r="F33">
        <v>0.135889022484282</v>
      </c>
      <c r="G33" s="1">
        <v>7.9195142350602405E-5</v>
      </c>
      <c r="H33">
        <v>2.7877762493101099E-3</v>
      </c>
      <c r="I33">
        <f t="shared" si="0"/>
        <v>135.88902248428201</v>
      </c>
      <c r="J33" s="2">
        <f t="shared" si="1"/>
        <v>7.9195142350602404E-2</v>
      </c>
      <c r="K33">
        <f t="shared" si="2"/>
        <v>-0.77864714811150293</v>
      </c>
      <c r="L33" s="1">
        <f t="shared" si="3"/>
        <v>-0.6994520057609005</v>
      </c>
    </row>
    <row r="34" spans="1:12" x14ac:dyDescent="0.3">
      <c r="A34">
        <v>16</v>
      </c>
      <c r="B34">
        <v>64</v>
      </c>
      <c r="C34">
        <v>6.2240149410581501E-2</v>
      </c>
      <c r="D34">
        <v>7.8823923072580099E-2</v>
      </c>
      <c r="E34">
        <v>-0.132921865502107</v>
      </c>
      <c r="F34">
        <v>0.13597342573181601</v>
      </c>
      <c r="G34" s="1">
        <v>8.9838327625347604E-5</v>
      </c>
      <c r="H34">
        <v>2.7140689936848601E-3</v>
      </c>
      <c r="I34">
        <f t="shared" si="0"/>
        <v>135.97342573181601</v>
      </c>
      <c r="J34" s="2">
        <f t="shared" si="1"/>
        <v>8.9838327625347603E-2</v>
      </c>
      <c r="K34">
        <f t="shared" si="2"/>
        <v>-0.69424390057750429</v>
      </c>
      <c r="L34" s="1">
        <f t="shared" si="3"/>
        <v>-0.60440557295215669</v>
      </c>
    </row>
    <row r="35" spans="1:12" x14ac:dyDescent="0.3">
      <c r="A35">
        <v>16.5</v>
      </c>
      <c r="B35">
        <v>66</v>
      </c>
      <c r="C35">
        <v>5.7819931809809003E-2</v>
      </c>
      <c r="D35">
        <v>8.2761759148296601E-2</v>
      </c>
      <c r="E35">
        <v>-0.13273072858113899</v>
      </c>
      <c r="F35">
        <v>0.13611149480698001</v>
      </c>
      <c r="G35">
        <v>1.73596321533151E-4</v>
      </c>
      <c r="H35">
        <v>2.6169874589886399E-3</v>
      </c>
      <c r="I35">
        <f t="shared" si="0"/>
        <v>136.11149480698001</v>
      </c>
      <c r="J35" s="2">
        <f t="shared" si="1"/>
        <v>0.17359632153315099</v>
      </c>
      <c r="K35">
        <f t="shared" si="2"/>
        <v>-0.55617482541350682</v>
      </c>
      <c r="L35" s="1">
        <f t="shared" si="3"/>
        <v>-0.38257850388035586</v>
      </c>
    </row>
    <row r="36" spans="1:12" x14ac:dyDescent="0.3">
      <c r="A36">
        <v>17</v>
      </c>
      <c r="B36">
        <v>68</v>
      </c>
      <c r="C36">
        <v>5.3277096794232398E-2</v>
      </c>
      <c r="D36">
        <v>8.6676773119901296E-2</v>
      </c>
      <c r="E36">
        <v>-0.13239040717855</v>
      </c>
      <c r="F36">
        <v>0.13628232972616999</v>
      </c>
      <c r="G36">
        <v>3.1958789080231898E-4</v>
      </c>
      <c r="H36">
        <v>2.52115424519449E-3</v>
      </c>
      <c r="I36">
        <f t="shared" si="0"/>
        <v>136.28232972616999</v>
      </c>
      <c r="J36" s="2">
        <f t="shared" si="1"/>
        <v>0.31958789080231897</v>
      </c>
      <c r="K36">
        <f t="shared" si="2"/>
        <v>-0.38533990622352121</v>
      </c>
      <c r="L36" s="1">
        <f>J36+K36</f>
        <v>-6.5752015421202237E-2</v>
      </c>
    </row>
    <row r="37" spans="1:12" x14ac:dyDescent="0.3">
      <c r="A37">
        <v>17.5</v>
      </c>
      <c r="B37">
        <v>70</v>
      </c>
      <c r="C37">
        <v>4.8695009024084003E-2</v>
      </c>
      <c r="D37">
        <v>9.0551833314696198E-2</v>
      </c>
      <c r="E37">
        <v>-0.131848606174925</v>
      </c>
      <c r="F37">
        <v>0.13647053335977899</v>
      </c>
      <c r="G37">
        <v>4.7541192381564997E-4</v>
      </c>
      <c r="H37">
        <v>2.4660787212849099E-3</v>
      </c>
      <c r="I37">
        <f t="shared" si="0"/>
        <v>136.47053335977898</v>
      </c>
      <c r="J37" s="2">
        <f t="shared" si="1"/>
        <v>0.47541192381564995</v>
      </c>
      <c r="K37">
        <f t="shared" si="2"/>
        <v>-0.19713627261452871</v>
      </c>
      <c r="L37" s="1">
        <f t="shared" si="3"/>
        <v>0.27827565120112124</v>
      </c>
    </row>
    <row r="38" spans="1:12" x14ac:dyDescent="0.3">
      <c r="A38">
        <v>18</v>
      </c>
      <c r="B38">
        <v>72</v>
      </c>
      <c r="C38">
        <v>4.39376051658453E-2</v>
      </c>
      <c r="D38">
        <v>9.4383442107654994E-2</v>
      </c>
      <c r="E38">
        <v>-0.13108944825434801</v>
      </c>
      <c r="F38">
        <v>0.13663809721841499</v>
      </c>
      <c r="G38">
        <v>7.3226138315960105E-4</v>
      </c>
      <c r="H38">
        <v>2.4105330063838E-3</v>
      </c>
      <c r="I38">
        <f t="shared" si="0"/>
        <v>136.638097218415</v>
      </c>
      <c r="J38" s="2">
        <f t="shared" si="1"/>
        <v>0.7322613831596011</v>
      </c>
      <c r="K38">
        <f t="shared" si="2"/>
        <v>-2.9572413978513623E-2</v>
      </c>
      <c r="L38" s="1">
        <f t="shared" si="3"/>
        <v>0.70268896918108747</v>
      </c>
    </row>
    <row r="39" spans="1:12" x14ac:dyDescent="0.3">
      <c r="A39">
        <v>18.5</v>
      </c>
      <c r="B39">
        <v>74</v>
      </c>
      <c r="C39">
        <v>3.9178079600407499E-2</v>
      </c>
      <c r="D39">
        <v>9.8110860982750597E-2</v>
      </c>
      <c r="E39">
        <v>-0.13010958718934301</v>
      </c>
      <c r="F39">
        <v>0.136798166319336</v>
      </c>
      <c r="G39">
        <v>9.5886796103646001E-4</v>
      </c>
      <c r="H39">
        <v>2.3931177979383102E-3</v>
      </c>
      <c r="I39">
        <f t="shared" si="0"/>
        <v>136.79816631933599</v>
      </c>
      <c r="J39" s="2">
        <f t="shared" si="1"/>
        <v>0.95886796103645999</v>
      </c>
      <c r="K39">
        <f t="shared" si="2"/>
        <v>0.13049668694247885</v>
      </c>
      <c r="L39" s="1">
        <f t="shared" si="3"/>
        <v>1.0893646479789387</v>
      </c>
    </row>
    <row r="40" spans="1:12" x14ac:dyDescent="0.3">
      <c r="A40">
        <v>19</v>
      </c>
      <c r="B40">
        <v>76</v>
      </c>
      <c r="C40">
        <v>3.4356753503377101E-2</v>
      </c>
      <c r="D40">
        <v>0.101675122088076</v>
      </c>
      <c r="E40">
        <v>-0.12893976869082499</v>
      </c>
      <c r="F40">
        <v>0.13693031578804599</v>
      </c>
      <c r="G40">
        <v>1.1684310875223101E-3</v>
      </c>
      <c r="H40">
        <v>2.3640356335426801E-3</v>
      </c>
      <c r="I40">
        <f t="shared" si="0"/>
        <v>136.93031578804599</v>
      </c>
      <c r="J40" s="2">
        <f t="shared" si="1"/>
        <v>1.1684310875223101</v>
      </c>
      <c r="K40">
        <f t="shared" si="2"/>
        <v>0.26264615565247595</v>
      </c>
      <c r="L40" s="1">
        <f t="shared" si="3"/>
        <v>1.431077243174786</v>
      </c>
    </row>
    <row r="41" spans="1:12" x14ac:dyDescent="0.3">
      <c r="A41">
        <v>19.5</v>
      </c>
      <c r="B41">
        <v>78</v>
      </c>
      <c r="C41">
        <v>2.9532011648925698E-2</v>
      </c>
      <c r="D41">
        <v>0.104987343312738</v>
      </c>
      <c r="E41">
        <v>-0.12765068587570999</v>
      </c>
      <c r="F41">
        <v>0.13704257867353201</v>
      </c>
      <c r="G41">
        <v>1.2782313816038799E-3</v>
      </c>
      <c r="H41">
        <v>2.2895563619843699E-3</v>
      </c>
      <c r="I41">
        <f t="shared" si="0"/>
        <v>137.04257867353201</v>
      </c>
      <c r="J41" s="2">
        <f t="shared" si="1"/>
        <v>1.2782313816038799</v>
      </c>
      <c r="K41">
        <f t="shared" si="2"/>
        <v>0.3749090411384941</v>
      </c>
      <c r="L41" s="1">
        <f t="shared" si="3"/>
        <v>1.653140422742374</v>
      </c>
    </row>
    <row r="42" spans="1:12" x14ac:dyDescent="0.3">
      <c r="A42">
        <v>20</v>
      </c>
      <c r="B42">
        <v>80</v>
      </c>
      <c r="C42">
        <v>2.4681445011792699E-2</v>
      </c>
      <c r="D42">
        <v>0.10801582877419599</v>
      </c>
      <c r="E42">
        <v>-0.12628254397764799</v>
      </c>
      <c r="F42">
        <v>0.137131725373145</v>
      </c>
      <c r="G42">
        <v>1.28905612810196E-3</v>
      </c>
      <c r="H42">
        <v>2.1382432694468201E-3</v>
      </c>
      <c r="I42">
        <f t="shared" si="0"/>
        <v>137.131725373145</v>
      </c>
      <c r="J42" s="2">
        <f t="shared" si="1"/>
        <v>1.2890561281019601</v>
      </c>
      <c r="K42">
        <f t="shared" si="2"/>
        <v>0.46405574075149048</v>
      </c>
      <c r="L42" s="1">
        <f t="shared" si="3"/>
        <v>1.7531118688534506</v>
      </c>
    </row>
    <row r="43" spans="1:12" x14ac:dyDescent="0.3">
      <c r="A43">
        <v>20.5</v>
      </c>
      <c r="B43">
        <v>82</v>
      </c>
      <c r="C43">
        <v>1.9741464285903499E-2</v>
      </c>
      <c r="D43">
        <v>0.110762603805907</v>
      </c>
      <c r="E43">
        <v>-0.124884158538908</v>
      </c>
      <c r="F43">
        <v>0.137213452791421</v>
      </c>
      <c r="G43">
        <v>1.2403314371007899E-3</v>
      </c>
      <c r="H43">
        <v>1.8733031843011199E-3</v>
      </c>
      <c r="I43">
        <f t="shared" si="0"/>
        <v>137.21345279142099</v>
      </c>
      <c r="J43" s="2">
        <f t="shared" si="1"/>
        <v>1.2403314371007899</v>
      </c>
      <c r="K43">
        <f t="shared" si="2"/>
        <v>0.54578315902747931</v>
      </c>
      <c r="L43" s="1">
        <f t="shared" si="3"/>
        <v>1.7861145961282692</v>
      </c>
    </row>
    <row r="44" spans="1:12" x14ac:dyDescent="0.3">
      <c r="A44">
        <v>21</v>
      </c>
      <c r="B44">
        <v>84</v>
      </c>
      <c r="C44">
        <v>1.4829334647824001E-2</v>
      </c>
      <c r="D44">
        <v>0.113206158125408</v>
      </c>
      <c r="E44">
        <v>-0.123460013848029</v>
      </c>
      <c r="F44">
        <v>0.137281418803154</v>
      </c>
      <c r="G44">
        <v>1.0514004181073401E-3</v>
      </c>
      <c r="H44">
        <v>1.5251596417342301E-3</v>
      </c>
      <c r="I44">
        <f t="shared" si="0"/>
        <v>137.281418803154</v>
      </c>
      <c r="J44" s="2">
        <f t="shared" si="1"/>
        <v>1.05140041810734</v>
      </c>
      <c r="K44">
        <f t="shared" si="2"/>
        <v>0.61374917076048519</v>
      </c>
      <c r="L44" s="1">
        <f t="shared" si="3"/>
        <v>1.6651495888678252</v>
      </c>
    </row>
    <row r="45" spans="1:12" x14ac:dyDescent="0.3">
      <c r="A45">
        <v>21.5</v>
      </c>
      <c r="B45">
        <v>86</v>
      </c>
      <c r="C45">
        <v>9.9065728522976498E-3</v>
      </c>
      <c r="D45">
        <v>0.11536064387462699</v>
      </c>
      <c r="E45">
        <v>-0.122017085582503</v>
      </c>
      <c r="F45">
        <v>0.137331723882402</v>
      </c>
      <c r="G45">
        <v>7.5842848074170102E-4</v>
      </c>
      <c r="H45">
        <v>1.08337704814049E-3</v>
      </c>
      <c r="I45">
        <f t="shared" si="0"/>
        <v>137.331723882402</v>
      </c>
      <c r="J45" s="2">
        <f t="shared" si="1"/>
        <v>0.75842848074170099</v>
      </c>
      <c r="K45">
        <f t="shared" si="2"/>
        <v>0.6640542500084905</v>
      </c>
      <c r="L45" s="1">
        <f t="shared" si="3"/>
        <v>1.4224827307501915</v>
      </c>
    </row>
    <row r="46" spans="1:12" x14ac:dyDescent="0.3">
      <c r="A46">
        <v>22</v>
      </c>
      <c r="B46">
        <v>88</v>
      </c>
      <c r="C46">
        <v>4.9682245230176598E-3</v>
      </c>
      <c r="D46">
        <v>0.117269285217888</v>
      </c>
      <c r="E46">
        <v>-0.12054549651561999</v>
      </c>
      <c r="F46">
        <v>0.13737249238697599</v>
      </c>
      <c r="G46">
        <v>3.9024845930165199E-4</v>
      </c>
      <c r="H46">
        <v>5.6400440842842205E-4</v>
      </c>
      <c r="I46">
        <f t="shared" si="0"/>
        <v>137.37249238697598</v>
      </c>
      <c r="J46" s="2">
        <f t="shared" si="1"/>
        <v>0.39024845930165197</v>
      </c>
      <c r="K46">
        <f t="shared" si="2"/>
        <v>0.7048227545824659</v>
      </c>
      <c r="L46" s="1">
        <f t="shared" si="3"/>
        <v>1.0950712138841179</v>
      </c>
    </row>
    <row r="47" spans="1:12" x14ac:dyDescent="0.3">
      <c r="A47">
        <v>22.5</v>
      </c>
      <c r="B47">
        <v>90</v>
      </c>
      <c r="C47" s="1">
        <v>1.7153521587636498E-5</v>
      </c>
      <c r="D47">
        <v>0.118979186387059</v>
      </c>
      <c r="E47">
        <v>-0.11899241142691599</v>
      </c>
      <c r="F47">
        <v>0.13739296605738399</v>
      </c>
      <c r="G47" s="1">
        <v>-1.58440276774816E-5</v>
      </c>
      <c r="H47" s="1">
        <v>1.30949391014452E-6</v>
      </c>
      <c r="I47">
        <f t="shared" si="0"/>
        <v>137.392966057384</v>
      </c>
      <c r="J47" s="2">
        <f t="shared" si="1"/>
        <v>-1.5844027677481599E-2</v>
      </c>
      <c r="K47">
        <f t="shared" si="2"/>
        <v>0.72529642499048919</v>
      </c>
      <c r="L47" s="1">
        <f t="shared" si="3"/>
        <v>0.70945239731300758</v>
      </c>
    </row>
    <row r="48" spans="1:12" x14ac:dyDescent="0.3">
      <c r="A48">
        <v>23</v>
      </c>
      <c r="B48">
        <v>92</v>
      </c>
      <c r="C48">
        <v>-4.9663026795883202E-3</v>
      </c>
      <c r="D48">
        <v>0.120540843265857</v>
      </c>
      <c r="E48">
        <v>-0.117276434574637</v>
      </c>
      <c r="F48">
        <v>0.137373750621199</v>
      </c>
      <c r="G48">
        <v>-3.9551100796873697E-4</v>
      </c>
      <c r="H48">
        <v>-5.6729799612261302E-4</v>
      </c>
      <c r="I48">
        <f t="shared" si="0"/>
        <v>137.37375062119901</v>
      </c>
      <c r="J48" s="2">
        <f t="shared" si="1"/>
        <v>-0.39551100796873695</v>
      </c>
      <c r="K48">
        <f t="shared" si="2"/>
        <v>0.70608098880549619</v>
      </c>
      <c r="L48" s="1">
        <f t="shared" si="3"/>
        <v>0.31056998083675924</v>
      </c>
    </row>
    <row r="49" spans="1:12" x14ac:dyDescent="0.3">
      <c r="A49">
        <v>23.5</v>
      </c>
      <c r="B49">
        <v>94</v>
      </c>
      <c r="C49">
        <v>-9.8901058947475501E-3</v>
      </c>
      <c r="D49">
        <v>0.122011085614219</v>
      </c>
      <c r="E49">
        <v>-0.11537534866700599</v>
      </c>
      <c r="F49">
        <v>0.13733549015754501</v>
      </c>
      <c r="G49">
        <v>-7.7661506300316597E-4</v>
      </c>
      <c r="H49">
        <v>-1.08478964917835E-3</v>
      </c>
      <c r="I49">
        <f t="shared" ref="I49:I112" si="4">F49*1000</f>
        <v>137.335490157545</v>
      </c>
      <c r="J49" s="2">
        <f t="shared" ref="J49:J112" si="5">G49*1000</f>
        <v>-0.77661506300316596</v>
      </c>
      <c r="K49">
        <f t="shared" si="2"/>
        <v>0.66782052515148393</v>
      </c>
      <c r="L49" s="1">
        <f t="shared" si="3"/>
        <v>-0.10879453785168203</v>
      </c>
    </row>
    <row r="50" spans="1:12" x14ac:dyDescent="0.3">
      <c r="A50">
        <v>24</v>
      </c>
      <c r="B50">
        <v>96</v>
      </c>
      <c r="C50">
        <v>-1.48375319027183E-2</v>
      </c>
      <c r="D50">
        <v>0.123447335074131</v>
      </c>
      <c r="E50">
        <v>-0.113210312451288</v>
      </c>
      <c r="F50">
        <v>0.137276508890082</v>
      </c>
      <c r="G50">
        <v>-1.0510313674040499E-3</v>
      </c>
      <c r="H50">
        <v>-1.5335030932918099E-3</v>
      </c>
      <c r="I50">
        <f t="shared" si="4"/>
        <v>137.276508890082</v>
      </c>
      <c r="J50" s="2">
        <f t="shared" si="5"/>
        <v>-1.0510313674040499</v>
      </c>
      <c r="K50">
        <f t="shared" si="2"/>
        <v>0.60883925768848712</v>
      </c>
      <c r="L50" s="1">
        <f>J50+K50</f>
        <v>-0.44219210971556278</v>
      </c>
    </row>
    <row r="51" spans="1:12" x14ac:dyDescent="0.3">
      <c r="A51">
        <v>24.5</v>
      </c>
      <c r="B51">
        <v>98</v>
      </c>
      <c r="C51">
        <v>-1.9708134791191399E-2</v>
      </c>
      <c r="D51">
        <v>0.12487058324014499</v>
      </c>
      <c r="E51">
        <v>-0.11078068417234301</v>
      </c>
      <c r="F51">
        <v>0.13721146756223099</v>
      </c>
      <c r="G51">
        <v>-1.2731460476732999E-3</v>
      </c>
      <c r="H51">
        <v>-1.87274524112973E-3</v>
      </c>
      <c r="I51">
        <f t="shared" si="4"/>
        <v>137.21146756223098</v>
      </c>
      <c r="J51" s="2">
        <f t="shared" si="5"/>
        <v>-1.2731460476732999</v>
      </c>
      <c r="K51">
        <f t="shared" si="2"/>
        <v>0.54379792983746711</v>
      </c>
      <c r="L51" s="1">
        <f t="shared" si="3"/>
        <v>-0.72934811783583275</v>
      </c>
    </row>
    <row r="52" spans="1:12" x14ac:dyDescent="0.3">
      <c r="A52">
        <v>25</v>
      </c>
      <c r="B52">
        <v>100</v>
      </c>
      <c r="C52">
        <v>-2.4585827662126199E-2</v>
      </c>
      <c r="D52">
        <v>0.126271953374682</v>
      </c>
      <c r="E52">
        <v>-0.108057660777825</v>
      </c>
      <c r="F52">
        <v>0.13713538502910699</v>
      </c>
      <c r="G52">
        <v>-1.3721734617283799E-3</v>
      </c>
      <c r="H52">
        <v>-2.1238450217565801E-3</v>
      </c>
      <c r="I52">
        <f t="shared" si="4"/>
        <v>137.135385029107</v>
      </c>
      <c r="J52" s="2">
        <f t="shared" si="5"/>
        <v>-1.3721734617283798</v>
      </c>
      <c r="K52">
        <f t="shared" si="2"/>
        <v>0.46771539671348705</v>
      </c>
      <c r="L52" s="1">
        <f t="shared" si="3"/>
        <v>-0.90445806501489279</v>
      </c>
    </row>
    <row r="53" spans="1:12" x14ac:dyDescent="0.3">
      <c r="A53">
        <v>25.5</v>
      </c>
      <c r="B53">
        <v>102</v>
      </c>
      <c r="C53">
        <v>-2.9495190025652099E-2</v>
      </c>
      <c r="D53">
        <v>0.12764130106813501</v>
      </c>
      <c r="E53">
        <v>-0.105004894219197</v>
      </c>
      <c r="F53">
        <v>0.13704021983150899</v>
      </c>
      <c r="G53">
        <v>-1.3120053123848901E-3</v>
      </c>
      <c r="H53">
        <v>-2.28626105890489E-3</v>
      </c>
      <c r="I53">
        <f t="shared" si="4"/>
        <v>137.04021983150898</v>
      </c>
      <c r="J53" s="2">
        <f t="shared" si="5"/>
        <v>-1.31200531238489</v>
      </c>
      <c r="K53">
        <f t="shared" si="2"/>
        <v>0.37255019911546583</v>
      </c>
      <c r="L53" s="1">
        <f t="shared" si="3"/>
        <v>-0.93945511326942421</v>
      </c>
    </row>
    <row r="54" spans="1:12" x14ac:dyDescent="0.3">
      <c r="A54">
        <v>26</v>
      </c>
      <c r="B54">
        <v>104</v>
      </c>
      <c r="C54">
        <v>-3.4320116750653697E-2</v>
      </c>
      <c r="D54">
        <v>0.12893174872243701</v>
      </c>
      <c r="E54">
        <v>-0.10169783224538401</v>
      </c>
      <c r="F54">
        <v>0.13693015832067401</v>
      </c>
      <c r="G54">
        <v>-1.204121013083E-3</v>
      </c>
      <c r="H54">
        <v>-2.3620667578670399E-3</v>
      </c>
      <c r="I54">
        <f t="shared" si="4"/>
        <v>136.93015832067402</v>
      </c>
      <c r="J54" s="2">
        <f t="shared" si="5"/>
        <v>-1.204121013083</v>
      </c>
      <c r="K54">
        <f t="shared" si="2"/>
        <v>0.26248868828051286</v>
      </c>
      <c r="L54" s="1">
        <f t="shared" si="3"/>
        <v>-0.94163232480248715</v>
      </c>
    </row>
    <row r="55" spans="1:12" x14ac:dyDescent="0.3">
      <c r="A55">
        <v>26.5</v>
      </c>
      <c r="B55">
        <v>106</v>
      </c>
      <c r="C55">
        <v>-3.9144374488113302E-2</v>
      </c>
      <c r="D55">
        <v>0.13010394040047901</v>
      </c>
      <c r="E55">
        <v>-9.8138546591811898E-2</v>
      </c>
      <c r="F55">
        <v>0.13680114138396501</v>
      </c>
      <c r="G55">
        <v>-9.9465521154712411E-4</v>
      </c>
      <c r="H55">
        <v>-2.3929935598152202E-3</v>
      </c>
      <c r="I55">
        <f t="shared" si="4"/>
        <v>136.80114138396502</v>
      </c>
      <c r="J55" s="2">
        <f t="shared" si="5"/>
        <v>-0.99465521154712411</v>
      </c>
      <c r="K55">
        <f t="shared" si="2"/>
        <v>0.13347175157150559</v>
      </c>
      <c r="L55" s="1">
        <f t="shared" si="3"/>
        <v>-0.86118345997561851</v>
      </c>
    </row>
    <row r="56" spans="1:12" x14ac:dyDescent="0.3">
      <c r="A56">
        <v>27</v>
      </c>
      <c r="B56">
        <v>108</v>
      </c>
      <c r="C56">
        <v>-4.3914669300259203E-2</v>
      </c>
      <c r="D56">
        <v>0.13108307180901399</v>
      </c>
      <c r="E56">
        <v>-9.4413205169411998E-2</v>
      </c>
      <c r="F56">
        <v>0.13664249101748799</v>
      </c>
      <c r="G56">
        <v>-7.6243292135187203E-4</v>
      </c>
      <c r="H56">
        <v>-2.4149342202188099E-3</v>
      </c>
      <c r="I56">
        <f t="shared" si="4"/>
        <v>136.642491017488</v>
      </c>
      <c r="J56" s="2">
        <f t="shared" si="5"/>
        <v>-0.76243292135187202</v>
      </c>
      <c r="K56">
        <f t="shared" si="2"/>
        <v>-2.5178614905513541E-2</v>
      </c>
      <c r="L56" s="1">
        <f t="shared" si="3"/>
        <v>-0.78761153625738556</v>
      </c>
    </row>
    <row r="57" spans="1:12" x14ac:dyDescent="0.3">
      <c r="A57">
        <v>27.5</v>
      </c>
      <c r="B57">
        <v>110</v>
      </c>
      <c r="C57">
        <v>-4.8626048023510698E-2</v>
      </c>
      <c r="D57">
        <v>0.13184854414373401</v>
      </c>
      <c r="E57">
        <v>-9.05838625862459E-2</v>
      </c>
      <c r="F57">
        <v>0.136468493945647</v>
      </c>
      <c r="G57">
        <v>-5.3497776411684495E-4</v>
      </c>
      <c r="H57">
        <v>-2.45378882200751E-3</v>
      </c>
      <c r="I57">
        <f t="shared" si="4"/>
        <v>136.468493945647</v>
      </c>
      <c r="J57" s="2">
        <f t="shared" si="5"/>
        <v>-0.53497776411684494</v>
      </c>
      <c r="K57">
        <f t="shared" si="2"/>
        <v>-0.1991756867465142</v>
      </c>
      <c r="L57" s="1">
        <f t="shared" si="3"/>
        <v>-0.73415345086335915</v>
      </c>
    </row>
    <row r="58" spans="1:12" x14ac:dyDescent="0.3">
      <c r="A58">
        <v>28</v>
      </c>
      <c r="B58">
        <v>112</v>
      </c>
      <c r="C58">
        <v>-5.3268863968395197E-2</v>
      </c>
      <c r="D58">
        <v>0.13238861873767499</v>
      </c>
      <c r="E58">
        <v>-8.6692471677963095E-2</v>
      </c>
      <c r="F58">
        <v>0.13628553631995999</v>
      </c>
      <c r="G58">
        <v>-3.3308980988565697E-4</v>
      </c>
      <c r="H58">
        <v>-2.5242389695608498E-3</v>
      </c>
      <c r="I58">
        <f t="shared" si="4"/>
        <v>136.28553631995999</v>
      </c>
      <c r="J58" s="2">
        <f t="shared" si="5"/>
        <v>-0.33308980988565695</v>
      </c>
      <c r="K58">
        <f t="shared" si="2"/>
        <v>-0.382133312433524</v>
      </c>
      <c r="L58" s="1">
        <f t="shared" si="3"/>
        <v>-0.71522312231918095</v>
      </c>
    </row>
    <row r="59" spans="1:12" x14ac:dyDescent="0.3">
      <c r="A59">
        <v>28.5</v>
      </c>
      <c r="B59">
        <v>114</v>
      </c>
      <c r="C59">
        <v>-5.7802605248823198E-2</v>
      </c>
      <c r="D59">
        <v>0.132729700509086</v>
      </c>
      <c r="E59">
        <v>-8.2786179000643098E-2</v>
      </c>
      <c r="F59">
        <v>0.136115684034749</v>
      </c>
      <c r="G59">
        <v>-1.9739108115015099E-4</v>
      </c>
      <c r="H59">
        <v>-2.61969458012679E-3</v>
      </c>
      <c r="I59">
        <f t="shared" si="4"/>
        <v>136.11568403474899</v>
      </c>
      <c r="J59" s="2">
        <f t="shared" si="5"/>
        <v>-0.197391081150151</v>
      </c>
      <c r="K59">
        <f t="shared" si="2"/>
        <v>-0.55198559764451716</v>
      </c>
      <c r="L59" s="1">
        <f t="shared" si="3"/>
        <v>-0.74937667879466818</v>
      </c>
    </row>
    <row r="60" spans="1:12" x14ac:dyDescent="0.3">
      <c r="A60">
        <v>29</v>
      </c>
      <c r="B60">
        <v>116</v>
      </c>
      <c r="C60">
        <v>-6.2221524066822902E-2</v>
      </c>
      <c r="D60">
        <v>0.13292046743198599</v>
      </c>
      <c r="E60">
        <v>-7.8851588329445305E-2</v>
      </c>
      <c r="F60">
        <v>0.13597736622349399</v>
      </c>
      <c r="G60">
        <v>-1.16353934237182E-4</v>
      </c>
      <c r="H60">
        <v>-2.7175483214272201E-3</v>
      </c>
      <c r="I60">
        <f t="shared" si="4"/>
        <v>135.97736622349399</v>
      </c>
      <c r="J60" s="2">
        <f t="shared" si="5"/>
        <v>-0.116353934237182</v>
      </c>
      <c r="K60">
        <f t="shared" si="2"/>
        <v>-0.69030340889952413</v>
      </c>
      <c r="L60" s="1">
        <f t="shared" si="3"/>
        <v>-0.80665734313670612</v>
      </c>
    </row>
    <row r="61" spans="1:12" x14ac:dyDescent="0.3">
      <c r="A61">
        <v>29.5</v>
      </c>
      <c r="B61">
        <v>118</v>
      </c>
      <c r="C61">
        <v>-6.6488091713035199E-2</v>
      </c>
      <c r="D61">
        <v>0.133013385478576</v>
      </c>
      <c r="E61">
        <v>-7.4893359815246405E-2</v>
      </c>
      <c r="F61">
        <v>0.135889373180308</v>
      </c>
      <c r="G61">
        <v>-1.10380310914611E-4</v>
      </c>
      <c r="H61">
        <v>-2.7893553499018001E-3</v>
      </c>
      <c r="I61">
        <f t="shared" si="4"/>
        <v>135.88937318030798</v>
      </c>
      <c r="J61" s="2">
        <f t="shared" si="5"/>
        <v>-0.11038031091461101</v>
      </c>
      <c r="K61">
        <f t="shared" si="2"/>
        <v>-0.77829645208552733</v>
      </c>
      <c r="L61" s="1">
        <f t="shared" si="3"/>
        <v>-0.88867676300013831</v>
      </c>
    </row>
    <row r="62" spans="1:12" x14ac:dyDescent="0.3">
      <c r="A62">
        <v>30</v>
      </c>
      <c r="B62">
        <v>120</v>
      </c>
      <c r="C62">
        <v>-7.0652642192579398E-2</v>
      </c>
      <c r="D62">
        <v>0.133032296818998</v>
      </c>
      <c r="E62">
        <v>-7.0854425114120698E-2</v>
      </c>
      <c r="F62">
        <v>0.135857220314899</v>
      </c>
      <c r="G62">
        <v>-1.16499424069739E-4</v>
      </c>
      <c r="H62">
        <v>-2.8249234959004002E-3</v>
      </c>
      <c r="I62">
        <f t="shared" si="4"/>
        <v>135.857220314899</v>
      </c>
      <c r="J62" s="2">
        <f t="shared" si="5"/>
        <v>-0.116499424069739</v>
      </c>
      <c r="K62">
        <f t="shared" si="2"/>
        <v>-0.81044931749451621</v>
      </c>
      <c r="L62" s="1">
        <f t="shared" si="3"/>
        <v>-0.92694874156425522</v>
      </c>
    </row>
    <row r="63" spans="1:12" x14ac:dyDescent="0.3">
      <c r="A63">
        <v>30.5</v>
      </c>
      <c r="B63">
        <v>122</v>
      </c>
      <c r="C63">
        <v>-7.4697311219303605E-2</v>
      </c>
      <c r="D63">
        <v>0.133009134531406</v>
      </c>
      <c r="E63">
        <v>-6.6720586960693398E-2</v>
      </c>
      <c r="F63">
        <v>0.13589004759493101</v>
      </c>
      <c r="G63">
        <v>-1.37213957017194E-4</v>
      </c>
      <c r="H63">
        <v>-2.8029212161969201E-3</v>
      </c>
      <c r="I63">
        <f t="shared" si="4"/>
        <v>135.89004759493102</v>
      </c>
      <c r="J63" s="2">
        <f t="shared" si="5"/>
        <v>-0.13721395701719399</v>
      </c>
      <c r="K63">
        <f t="shared" si="2"/>
        <v>-0.7776220374624927</v>
      </c>
      <c r="L63" s="1">
        <f t="shared" si="3"/>
        <v>-0.91483599447968666</v>
      </c>
    </row>
    <row r="64" spans="1:12" x14ac:dyDescent="0.3">
      <c r="A64">
        <v>31</v>
      </c>
      <c r="B64">
        <v>124</v>
      </c>
      <c r="C64">
        <v>-7.8655690938303394E-2</v>
      </c>
      <c r="D64">
        <v>0.132894186570156</v>
      </c>
      <c r="E64">
        <v>-6.2440457955692301E-2</v>
      </c>
      <c r="F64">
        <v>0.135950841574179</v>
      </c>
      <c r="G64">
        <v>-1.21879074578057E-4</v>
      </c>
      <c r="H64">
        <v>-2.7339874412796701E-3</v>
      </c>
      <c r="I64">
        <f t="shared" si="4"/>
        <v>135.95084157417901</v>
      </c>
      <c r="J64" s="2">
        <f t="shared" si="5"/>
        <v>-0.12187907457805701</v>
      </c>
      <c r="K64">
        <f t="shared" si="2"/>
        <v>-0.71682805821450302</v>
      </c>
      <c r="L64" s="1">
        <f t="shared" si="3"/>
        <v>-0.83870713279256004</v>
      </c>
    </row>
    <row r="65" spans="1:12" x14ac:dyDescent="0.3">
      <c r="A65">
        <v>31.5</v>
      </c>
      <c r="B65">
        <v>126</v>
      </c>
      <c r="C65">
        <v>-8.2588262790543404E-2</v>
      </c>
      <c r="D65">
        <v>0.13269508496322099</v>
      </c>
      <c r="E65">
        <v>-5.8029693618658902E-2</v>
      </c>
      <c r="F65">
        <v>0.13607675537705599</v>
      </c>
      <c r="G65" s="1">
        <v>-4.5245463093423998E-5</v>
      </c>
      <c r="H65">
        <v>-2.6409571486603902E-3</v>
      </c>
      <c r="I65">
        <f t="shared" si="4"/>
        <v>136.076755377056</v>
      </c>
      <c r="J65" s="2">
        <f t="shared" si="5"/>
        <v>-4.5245463093423997E-2</v>
      </c>
      <c r="K65">
        <f t="shared" si="2"/>
        <v>-0.59091425533750908</v>
      </c>
      <c r="L65" s="1">
        <f t="shared" si="3"/>
        <v>-0.63615971843093311</v>
      </c>
    </row>
    <row r="66" spans="1:12" x14ac:dyDescent="0.3">
      <c r="A66">
        <v>32</v>
      </c>
      <c r="B66">
        <v>128</v>
      </c>
      <c r="C66">
        <v>-8.6518976602731404E-2</v>
      </c>
      <c r="D66">
        <v>0.132344317870741</v>
      </c>
      <c r="E66">
        <v>-5.3487432211295302E-2</v>
      </c>
      <c r="F66">
        <v>0.13623966507794699</v>
      </c>
      <c r="G66">
        <v>1.10954181957667E-4</v>
      </c>
      <c r="H66">
        <v>-2.5540303144285098E-3</v>
      </c>
      <c r="I66">
        <f t="shared" si="4"/>
        <v>136.239665077947</v>
      </c>
      <c r="J66" s="2">
        <f t="shared" si="5"/>
        <v>0.110954181957667</v>
      </c>
      <c r="K66">
        <f t="shared" si="2"/>
        <v>-0.42800455444651675</v>
      </c>
      <c r="L66" s="1">
        <f t="shared" si="3"/>
        <v>-0.31705037248884976</v>
      </c>
    </row>
    <row r="67" spans="1:12" x14ac:dyDescent="0.3">
      <c r="A67">
        <v>32.5</v>
      </c>
      <c r="B67">
        <v>130</v>
      </c>
      <c r="C67">
        <v>-9.0415470458579006E-2</v>
      </c>
      <c r="D67">
        <v>0.13179637043120099</v>
      </c>
      <c r="E67">
        <v>-4.8903507260551198E-2</v>
      </c>
      <c r="F67">
        <v>0.13642534407776699</v>
      </c>
      <c r="G67">
        <v>2.81202843332393E-4</v>
      </c>
      <c r="H67">
        <v>-2.50753576264299E-3</v>
      </c>
      <c r="I67">
        <f t="shared" si="4"/>
        <v>136.42534407776699</v>
      </c>
      <c r="J67" s="2">
        <f t="shared" si="5"/>
        <v>0.28120284333239298</v>
      </c>
      <c r="K67">
        <f t="shared" ref="K67:K130" si="6">I67-$I$1</f>
        <v>-0.24232555462651817</v>
      </c>
      <c r="L67" s="1">
        <f>J67+K67</f>
        <v>3.8877288705874813E-2</v>
      </c>
    </row>
    <row r="68" spans="1:12" x14ac:dyDescent="0.3">
      <c r="A68">
        <v>33</v>
      </c>
      <c r="B68">
        <v>132</v>
      </c>
      <c r="C68">
        <v>-9.4272886228305305E-2</v>
      </c>
      <c r="D68">
        <v>0.13102142860702501</v>
      </c>
      <c r="E68">
        <v>-4.4133846209835799E-2</v>
      </c>
      <c r="F68">
        <v>0.13658485204519499</v>
      </c>
      <c r="G68">
        <v>5.6249253420439604E-4</v>
      </c>
      <c r="H68">
        <v>-2.4617679437052399E-3</v>
      </c>
      <c r="I68">
        <f t="shared" si="4"/>
        <v>136.58485204519499</v>
      </c>
      <c r="J68" s="2">
        <f t="shared" si="5"/>
        <v>0.56249253420439604</v>
      </c>
      <c r="K68">
        <f t="shared" si="6"/>
        <v>-8.2817587198519504E-2</v>
      </c>
      <c r="L68" s="1">
        <f t="shared" si="3"/>
        <v>0.47967494700587654</v>
      </c>
    </row>
    <row r="69" spans="1:12" x14ac:dyDescent="0.3">
      <c r="A69">
        <v>33.5</v>
      </c>
      <c r="B69">
        <v>134</v>
      </c>
      <c r="C69">
        <v>-9.8003128555579896E-2</v>
      </c>
      <c r="D69">
        <v>0.130032910226069</v>
      </c>
      <c r="E69">
        <v>-3.93780770019206E-2</v>
      </c>
      <c r="F69">
        <v>0.13673542644790401</v>
      </c>
      <c r="G69">
        <v>7.9140380923058997E-4</v>
      </c>
      <c r="H69">
        <v>-2.4494317771436101E-3</v>
      </c>
      <c r="I69">
        <f t="shared" si="4"/>
        <v>136.73542644790402</v>
      </c>
      <c r="J69" s="2">
        <f t="shared" si="5"/>
        <v>0.79140380923058995</v>
      </c>
      <c r="K69">
        <f t="shared" si="6"/>
        <v>6.7756815510506385E-2</v>
      </c>
      <c r="L69" s="1">
        <f t="shared" ref="L69:L91" si="7">J69+K69</f>
        <v>0.85916062474109633</v>
      </c>
    </row>
    <row r="70" spans="1:12" x14ac:dyDescent="0.3">
      <c r="A70">
        <v>34</v>
      </c>
      <c r="B70">
        <v>136</v>
      </c>
      <c r="C70">
        <v>-0.101565492228344</v>
      </c>
      <c r="D70">
        <v>0.12886270633284899</v>
      </c>
      <c r="E70">
        <v>-3.4580276729337799E-2</v>
      </c>
      <c r="F70">
        <v>0.13686440708684899</v>
      </c>
      <c r="G70">
        <v>9.8723264352048603E-4</v>
      </c>
      <c r="H70">
        <v>-2.4276875416108898E-3</v>
      </c>
      <c r="I70">
        <f t="shared" si="4"/>
        <v>136.86440708684898</v>
      </c>
      <c r="J70" s="2">
        <f t="shared" si="5"/>
        <v>0.98723264352048601</v>
      </c>
      <c r="K70">
        <f t="shared" si="6"/>
        <v>0.19673745445547297</v>
      </c>
      <c r="L70" s="1">
        <f t="shared" si="7"/>
        <v>1.1839700979759589</v>
      </c>
    </row>
    <row r="71" spans="1:12" x14ac:dyDescent="0.3">
      <c r="A71">
        <v>34.5</v>
      </c>
      <c r="B71">
        <v>138</v>
      </c>
      <c r="C71">
        <v>-0.104888643779822</v>
      </c>
      <c r="D71">
        <v>0.12756416311318899</v>
      </c>
      <c r="E71">
        <v>-2.9745630305549199E-2</v>
      </c>
      <c r="F71">
        <v>0.136968430494747</v>
      </c>
      <c r="G71">
        <v>1.1127270811132101E-3</v>
      </c>
      <c r="H71">
        <v>-2.3567036573939998E-3</v>
      </c>
      <c r="I71">
        <f t="shared" si="4"/>
        <v>136.968430494747</v>
      </c>
      <c r="J71" s="2">
        <f t="shared" si="5"/>
        <v>1.1127270811132102</v>
      </c>
      <c r="K71">
        <f t="shared" si="6"/>
        <v>0.30076086235348498</v>
      </c>
      <c r="L71" s="1">
        <f t="shared" si="7"/>
        <v>1.4134879434666952</v>
      </c>
    </row>
    <row r="72" spans="1:12" x14ac:dyDescent="0.3">
      <c r="A72">
        <v>35</v>
      </c>
      <c r="B72">
        <v>140</v>
      </c>
      <c r="C72">
        <v>-0.10793026154178501</v>
      </c>
      <c r="D72">
        <v>0.126191137000118</v>
      </c>
      <c r="E72">
        <v>-2.4879037555643801E-2</v>
      </c>
      <c r="F72">
        <v>0.13705363791980099</v>
      </c>
      <c r="G72">
        <v>1.14350332919851E-3</v>
      </c>
      <c r="H72">
        <v>-2.2060540324370199E-3</v>
      </c>
      <c r="I72">
        <f t="shared" si="4"/>
        <v>137.05363791980099</v>
      </c>
      <c r="J72" s="2">
        <f t="shared" si="5"/>
        <v>1.1435033291985099</v>
      </c>
      <c r="K72">
        <f t="shared" si="6"/>
        <v>0.38596828740747924</v>
      </c>
      <c r="L72" s="1">
        <f t="shared" si="7"/>
        <v>1.5294716166059892</v>
      </c>
    </row>
    <row r="73" spans="1:12" x14ac:dyDescent="0.3">
      <c r="A73">
        <v>35.5</v>
      </c>
      <c r="B73">
        <v>142</v>
      </c>
      <c r="C73">
        <v>-0.11067407086048001</v>
      </c>
      <c r="D73">
        <v>0.124790880303525</v>
      </c>
      <c r="E73">
        <v>-1.9997318904363001E-2</v>
      </c>
      <c r="F73">
        <v>0.137133024187269</v>
      </c>
      <c r="G73">
        <v>1.0583792099666701E-3</v>
      </c>
      <c r="H73">
        <v>-1.9601698204390399E-3</v>
      </c>
      <c r="I73">
        <f t="shared" si="4"/>
        <v>137.133024187269</v>
      </c>
      <c r="J73" s="2">
        <f t="shared" si="5"/>
        <v>1.05837920996667</v>
      </c>
      <c r="K73">
        <f t="shared" si="6"/>
        <v>0.46535455487548916</v>
      </c>
      <c r="L73" s="1">
        <f t="shared" si="7"/>
        <v>1.5237337648421592</v>
      </c>
    </row>
    <row r="74" spans="1:12" x14ac:dyDescent="0.3">
      <c r="A74">
        <v>36</v>
      </c>
      <c r="B74">
        <v>144</v>
      </c>
      <c r="C74">
        <v>-0.11311527109509099</v>
      </c>
      <c r="D74">
        <v>0.123368379467179</v>
      </c>
      <c r="E74">
        <v>-1.51052785988185E-2</v>
      </c>
      <c r="F74">
        <v>0.13719582058492799</v>
      </c>
      <c r="G74">
        <v>8.5767822027660301E-4</v>
      </c>
      <c r="H74">
        <v>-1.6173900755767801E-3</v>
      </c>
      <c r="I74">
        <f t="shared" si="4"/>
        <v>137.19582058492799</v>
      </c>
      <c r="J74" s="2">
        <f t="shared" si="5"/>
        <v>0.85767822027660301</v>
      </c>
      <c r="K74">
        <f t="shared" si="6"/>
        <v>0.52815095253447453</v>
      </c>
      <c r="L74" s="1">
        <f t="shared" si="7"/>
        <v>1.3858291728110776</v>
      </c>
    </row>
    <row r="75" spans="1:12" x14ac:dyDescent="0.3">
      <c r="A75">
        <v>36.5</v>
      </c>
      <c r="B75">
        <v>146</v>
      </c>
      <c r="C75">
        <v>-0.11527567354064</v>
      </c>
      <c r="D75">
        <v>0.121928120529517</v>
      </c>
      <c r="E75">
        <v>-1.02001998739885E-2</v>
      </c>
      <c r="F75">
        <v>0.13724510889990099</v>
      </c>
      <c r="G75">
        <v>5.5747724307956799E-4</v>
      </c>
      <c r="H75">
        <v>-1.1825842950371199E-3</v>
      </c>
      <c r="I75">
        <f t="shared" si="4"/>
        <v>137.245108899901</v>
      </c>
      <c r="J75" s="2">
        <f t="shared" si="5"/>
        <v>0.55747724307956803</v>
      </c>
      <c r="K75">
        <f t="shared" si="6"/>
        <v>0.57743926750748642</v>
      </c>
      <c r="L75" s="1">
        <f t="shared" si="7"/>
        <v>1.1349165105870545</v>
      </c>
    </row>
    <row r="76" spans="1:12" x14ac:dyDescent="0.3">
      <c r="A76">
        <v>37</v>
      </c>
      <c r="B76">
        <v>148</v>
      </c>
      <c r="C76">
        <v>-0.11719044915000899</v>
      </c>
      <c r="D76">
        <v>0.120461709968436</v>
      </c>
      <c r="E76">
        <v>-5.2779094111260298E-3</v>
      </c>
      <c r="F76">
        <v>0.13728580701318099</v>
      </c>
      <c r="G76">
        <v>1.82290068448293E-4</v>
      </c>
      <c r="H76">
        <v>-6.6888286423323498E-4</v>
      </c>
      <c r="I76">
        <f t="shared" si="4"/>
        <v>137.285807013181</v>
      </c>
      <c r="J76" s="2">
        <f t="shared" si="5"/>
        <v>0.18229006844829301</v>
      </c>
      <c r="K76">
        <f t="shared" si="6"/>
        <v>0.6181373807874877</v>
      </c>
      <c r="L76" s="1">
        <f t="shared" si="7"/>
        <v>0.80042744923578069</v>
      </c>
    </row>
    <row r="77" spans="1:12" x14ac:dyDescent="0.3">
      <c r="A77">
        <v>37.5</v>
      </c>
      <c r="B77">
        <v>150</v>
      </c>
      <c r="C77">
        <v>-0.118900859011277</v>
      </c>
      <c r="D77">
        <v>0.118907140443002</v>
      </c>
      <c r="E77">
        <v>-3.3089645454494998E-4</v>
      </c>
      <c r="F77">
        <v>0.137298512500374</v>
      </c>
      <c r="G77">
        <v>-2.2269144693825801E-4</v>
      </c>
      <c r="H77">
        <v>-1.0820500760671501E-4</v>
      </c>
      <c r="I77">
        <f t="shared" si="4"/>
        <v>137.29851250037402</v>
      </c>
      <c r="J77" s="2">
        <f t="shared" si="5"/>
        <v>-0.22269144693825801</v>
      </c>
      <c r="K77">
        <f t="shared" si="6"/>
        <v>0.63084286798050471</v>
      </c>
      <c r="L77" s="1">
        <f t="shared" si="7"/>
        <v>0.40815142104224666</v>
      </c>
    </row>
    <row r="78" spans="1:12" x14ac:dyDescent="0.3">
      <c r="A78">
        <v>38</v>
      </c>
      <c r="B78">
        <v>152</v>
      </c>
      <c r="C78">
        <v>-0.120461693477703</v>
      </c>
      <c r="D78">
        <v>0.11718749673401301</v>
      </c>
      <c r="E78">
        <v>4.6354154837622199E-3</v>
      </c>
      <c r="F78">
        <v>0.13726917963590299</v>
      </c>
      <c r="G78">
        <v>-6.0932055994189396E-4</v>
      </c>
      <c r="H78">
        <v>4.5373958002402099E-4</v>
      </c>
      <c r="I78">
        <f t="shared" si="4"/>
        <v>137.26917963590299</v>
      </c>
      <c r="J78" s="2">
        <f t="shared" si="5"/>
        <v>-0.60932055994189394</v>
      </c>
      <c r="K78">
        <f t="shared" si="6"/>
        <v>0.6015100035094747</v>
      </c>
      <c r="L78" s="1">
        <f t="shared" si="7"/>
        <v>-7.8105564324192356E-3</v>
      </c>
    </row>
    <row r="79" spans="1:12" x14ac:dyDescent="0.3">
      <c r="A79">
        <v>38.5</v>
      </c>
      <c r="B79">
        <v>154</v>
      </c>
      <c r="C79">
        <v>-0.121924221391599</v>
      </c>
      <c r="D79">
        <v>0.115264569252423</v>
      </c>
      <c r="E79">
        <v>9.60370974354453E-3</v>
      </c>
      <c r="F79">
        <v>0.137208895938422</v>
      </c>
      <c r="G79">
        <v>-9.5116853698449101E-4</v>
      </c>
      <c r="H79">
        <v>9.8135253478945795E-4</v>
      </c>
      <c r="I79">
        <f t="shared" si="4"/>
        <v>137.20889593842202</v>
      </c>
      <c r="J79" s="2">
        <f t="shared" si="5"/>
        <v>-0.951168536984491</v>
      </c>
      <c r="K79">
        <f t="shared" si="6"/>
        <v>0.54122630602850563</v>
      </c>
      <c r="L79" s="1">
        <f t="shared" si="7"/>
        <v>-0.40994223095598536</v>
      </c>
    </row>
    <row r="80" spans="1:12" x14ac:dyDescent="0.3">
      <c r="A80">
        <v>39</v>
      </c>
      <c r="B80">
        <v>156</v>
      </c>
      <c r="C80">
        <v>-0.123365425147493</v>
      </c>
      <c r="D80">
        <v>0.11310967461039401</v>
      </c>
      <c r="E80">
        <v>1.4488353580457899E-2</v>
      </c>
      <c r="F80">
        <v>0.13714801206447599</v>
      </c>
      <c r="G80">
        <v>-1.26531657858493E-3</v>
      </c>
      <c r="H80">
        <v>1.4108676811198E-3</v>
      </c>
      <c r="I80">
        <f t="shared" si="4"/>
        <v>137.14801206447601</v>
      </c>
      <c r="J80" s="2">
        <f t="shared" si="5"/>
        <v>-1.2653165785849301</v>
      </c>
      <c r="K80">
        <f t="shared" si="6"/>
        <v>0.4803424320824945</v>
      </c>
      <c r="L80" s="1">
        <f t="shared" si="7"/>
        <v>-0.78497414650243558</v>
      </c>
    </row>
    <row r="81" spans="1:12" x14ac:dyDescent="0.3">
      <c r="A81">
        <v>39.5</v>
      </c>
      <c r="B81">
        <v>158</v>
      </c>
      <c r="C81">
        <v>-0.12478774911780099</v>
      </c>
      <c r="D81">
        <v>0.11066200083002301</v>
      </c>
      <c r="E81">
        <v>1.9429465669613299E-2</v>
      </c>
      <c r="F81">
        <v>0.13707206125779201</v>
      </c>
      <c r="G81">
        <v>-1.4290917674092199E-3</v>
      </c>
      <c r="H81">
        <v>1.76790579394517E-3</v>
      </c>
      <c r="I81">
        <f t="shared" si="4"/>
        <v>137.072061257792</v>
      </c>
      <c r="J81" s="2">
        <f t="shared" si="5"/>
        <v>-1.4290917674092198</v>
      </c>
      <c r="K81">
        <f t="shared" si="6"/>
        <v>0.40439162539848894</v>
      </c>
      <c r="L81" s="1">
        <f t="shared" si="7"/>
        <v>-1.0247001420107309</v>
      </c>
    </row>
    <row r="82" spans="1:12" x14ac:dyDescent="0.3">
      <c r="A82">
        <v>40</v>
      </c>
      <c r="B82">
        <v>160</v>
      </c>
      <c r="C82">
        <v>-0.12619520171092199</v>
      </c>
      <c r="D82">
        <v>0.107919283760142</v>
      </c>
      <c r="E82">
        <v>2.4330213832666699E-2</v>
      </c>
      <c r="F82">
        <v>0.13698704316697899</v>
      </c>
      <c r="G82">
        <v>-1.49819617081945E-3</v>
      </c>
      <c r="H82">
        <v>2.0180986272957998E-3</v>
      </c>
      <c r="I82">
        <f t="shared" si="4"/>
        <v>136.98704316697899</v>
      </c>
      <c r="J82" s="2">
        <f t="shared" si="5"/>
        <v>-1.49819617081945</v>
      </c>
      <c r="K82">
        <f t="shared" si="6"/>
        <v>0.31937353458548046</v>
      </c>
      <c r="L82" s="1">
        <f t="shared" si="7"/>
        <v>-1.1788226362339695</v>
      </c>
    </row>
    <row r="83" spans="1:12" x14ac:dyDescent="0.3">
      <c r="A83">
        <v>40.5</v>
      </c>
      <c r="B83">
        <v>162</v>
      </c>
      <c r="C83">
        <v>-0.12757497558928499</v>
      </c>
      <c r="D83">
        <v>0.10488529442562899</v>
      </c>
      <c r="E83">
        <v>2.9248774853857299E-2</v>
      </c>
      <c r="F83">
        <v>0.13690475860378501</v>
      </c>
      <c r="G83">
        <v>-1.43300413025767E-3</v>
      </c>
      <c r="H83">
        <v>2.18636456340031E-3</v>
      </c>
      <c r="I83">
        <f t="shared" si="4"/>
        <v>136.90475860378501</v>
      </c>
      <c r="J83" s="2">
        <f t="shared" si="5"/>
        <v>-1.4330041302576699</v>
      </c>
      <c r="K83">
        <f t="shared" si="6"/>
        <v>0.23708897139150054</v>
      </c>
      <c r="L83" s="1">
        <f t="shared" si="7"/>
        <v>-1.1959151588661694</v>
      </c>
    </row>
    <row r="84" spans="1:12" x14ac:dyDescent="0.3">
      <c r="A84">
        <v>41</v>
      </c>
      <c r="B84">
        <v>164</v>
      </c>
      <c r="C84">
        <v>-0.12886260238801001</v>
      </c>
      <c r="D84">
        <v>0.101550893466784</v>
      </c>
      <c r="E84">
        <v>3.4116229692572803E-2</v>
      </c>
      <c r="F84">
        <v>0.13678249740204901</v>
      </c>
      <c r="G84">
        <v>-1.2806662140064601E-3</v>
      </c>
      <c r="H84">
        <v>2.2681735904489901E-3</v>
      </c>
      <c r="I84">
        <f t="shared" si="4"/>
        <v>136.78249740204902</v>
      </c>
      <c r="J84" s="2">
        <f t="shared" si="5"/>
        <v>-1.2806662140064602</v>
      </c>
      <c r="K84">
        <f t="shared" si="6"/>
        <v>0.11482776965550556</v>
      </c>
      <c r="L84" s="1">
        <f t="shared" si="7"/>
        <v>-1.1658384443509546</v>
      </c>
    </row>
    <row r="85" spans="1:12" x14ac:dyDescent="0.3">
      <c r="A85">
        <v>41.5</v>
      </c>
      <c r="B85">
        <v>166</v>
      </c>
      <c r="C85">
        <v>-0.13003314829649301</v>
      </c>
      <c r="D85">
        <v>9.7981735557690103E-2</v>
      </c>
      <c r="E85">
        <v>3.8941549319484799E-2</v>
      </c>
      <c r="F85">
        <v>0.13664545767292599</v>
      </c>
      <c r="G85">
        <v>-1.06085108327284E-3</v>
      </c>
      <c r="H85">
        <v>2.2967121935605602E-3</v>
      </c>
      <c r="I85">
        <f t="shared" si="4"/>
        <v>136.645457672926</v>
      </c>
      <c r="J85" s="2">
        <f t="shared" si="5"/>
        <v>-1.0608510832728399</v>
      </c>
      <c r="K85">
        <f t="shared" si="6"/>
        <v>-2.2211959467512088E-2</v>
      </c>
      <c r="L85" s="1">
        <f t="shared" si="7"/>
        <v>-1.083063042740352</v>
      </c>
    </row>
    <row r="86" spans="1:12" x14ac:dyDescent="0.3">
      <c r="A86">
        <v>42</v>
      </c>
      <c r="B86">
        <v>168</v>
      </c>
      <c r="C86">
        <v>-0.13102522951670201</v>
      </c>
      <c r="D86">
        <v>9.42412901198494E-2</v>
      </c>
      <c r="E86">
        <v>4.3695910384405498E-2</v>
      </c>
      <c r="F86">
        <v>0.13648301625517301</v>
      </c>
      <c r="G86">
        <v>-8.2397985582632796E-4</v>
      </c>
      <c r="H86">
        <v>2.3039903291842499E-3</v>
      </c>
      <c r="I86">
        <f t="shared" si="4"/>
        <v>136.483016255173</v>
      </c>
      <c r="J86" s="2">
        <f t="shared" si="5"/>
        <v>-0.82397985582632793</v>
      </c>
      <c r="K86">
        <f t="shared" si="6"/>
        <v>-0.18465337722051345</v>
      </c>
      <c r="L86" s="1">
        <f t="shared" si="7"/>
        <v>-1.0086332330468415</v>
      </c>
    </row>
    <row r="87" spans="1:12" x14ac:dyDescent="0.3">
      <c r="A87">
        <v>42.5</v>
      </c>
      <c r="B87">
        <v>170</v>
      </c>
      <c r="C87">
        <v>-0.131799293271846</v>
      </c>
      <c r="D87">
        <v>9.0392611900649095E-2</v>
      </c>
      <c r="E87">
        <v>4.8420954312075097E-2</v>
      </c>
      <c r="F87">
        <v>0.136307439017577</v>
      </c>
      <c r="G87">
        <v>-5.7149166172577805E-4</v>
      </c>
      <c r="H87">
        <v>2.33809098029269E-3</v>
      </c>
      <c r="I87">
        <f t="shared" si="4"/>
        <v>136.307439017577</v>
      </c>
      <c r="J87" s="2">
        <f t="shared" si="5"/>
        <v>-0.57149166172577803</v>
      </c>
      <c r="K87">
        <f t="shared" si="6"/>
        <v>-0.36023061481651553</v>
      </c>
      <c r="L87" s="1">
        <f t="shared" si="7"/>
        <v>-0.93172227654229356</v>
      </c>
    </row>
    <row r="88" spans="1:12" x14ac:dyDescent="0.3">
      <c r="A88">
        <v>43</v>
      </c>
      <c r="B88">
        <v>172</v>
      </c>
      <c r="C88">
        <v>-0.13235031446059101</v>
      </c>
      <c r="D88">
        <v>8.6475351740081904E-2</v>
      </c>
      <c r="E88">
        <v>5.31089088105135E-2</v>
      </c>
      <c r="F88">
        <v>0.13613118689291701</v>
      </c>
      <c r="G88">
        <v>-3.21453755880056E-4</v>
      </c>
      <c r="H88">
        <v>2.41131536333479E-3</v>
      </c>
      <c r="I88">
        <f t="shared" si="4"/>
        <v>136.13118689291701</v>
      </c>
      <c r="J88" s="2">
        <f t="shared" si="5"/>
        <v>-0.32145375588005598</v>
      </c>
      <c r="K88">
        <f t="shared" si="6"/>
        <v>-0.53648273947649727</v>
      </c>
      <c r="L88" s="1">
        <f t="shared" si="7"/>
        <v>-0.85793649535655325</v>
      </c>
    </row>
    <row r="89" spans="1:12" x14ac:dyDescent="0.3">
      <c r="A89">
        <v>43.5</v>
      </c>
      <c r="B89">
        <v>174</v>
      </c>
      <c r="C89">
        <v>-0.132700931214355</v>
      </c>
      <c r="D89">
        <v>8.2545688583236299E-2</v>
      </c>
      <c r="E89">
        <v>5.7647424591674698E-2</v>
      </c>
      <c r="F89">
        <v>0.13596029331891399</v>
      </c>
      <c r="G89">
        <v>-1.6419838778549301E-4</v>
      </c>
      <c r="H89">
        <v>2.4973939868520199E-3</v>
      </c>
      <c r="I89">
        <f t="shared" si="4"/>
        <v>135.96029331891398</v>
      </c>
      <c r="J89" s="2">
        <f t="shared" si="5"/>
        <v>-0.16419838778549301</v>
      </c>
      <c r="K89">
        <f t="shared" si="6"/>
        <v>-0.70737631347952856</v>
      </c>
      <c r="L89" s="1">
        <f t="shared" si="7"/>
        <v>-0.87157470126502157</v>
      </c>
    </row>
    <row r="90" spans="1:12" x14ac:dyDescent="0.3">
      <c r="A90">
        <v>44</v>
      </c>
      <c r="B90">
        <v>176</v>
      </c>
      <c r="C90">
        <v>-0.132905470850751</v>
      </c>
      <c r="D90">
        <v>7.8590353941012006E-2</v>
      </c>
      <c r="E90">
        <v>6.2085720795472199E-2</v>
      </c>
      <c r="F90">
        <v>0.13583031775531301</v>
      </c>
      <c r="G90" s="1">
        <v>-5.4042038989514798E-5</v>
      </c>
      <c r="H90">
        <v>2.5902012952443302E-3</v>
      </c>
      <c r="I90">
        <f t="shared" si="4"/>
        <v>135.83031775531302</v>
      </c>
      <c r="J90" s="2">
        <f t="shared" si="5"/>
        <v>-5.4042038989514797E-2</v>
      </c>
      <c r="K90">
        <f t="shared" si="6"/>
        <v>-0.83735187708049352</v>
      </c>
      <c r="L90" s="1">
        <f t="shared" si="7"/>
        <v>-0.89139391607000829</v>
      </c>
    </row>
    <row r="91" spans="1:12" x14ac:dyDescent="0.3">
      <c r="A91">
        <v>44.5</v>
      </c>
      <c r="B91">
        <v>178</v>
      </c>
      <c r="C91">
        <v>-0.13300207943102499</v>
      </c>
      <c r="D91">
        <v>7.4610106824018904E-2</v>
      </c>
      <c r="E91">
        <v>6.6382253019516405E-2</v>
      </c>
      <c r="F91">
        <v>0.13574864742446499</v>
      </c>
      <c r="G91" s="1">
        <v>-1.2801934315747199E-5</v>
      </c>
      <c r="H91">
        <v>2.6634268041698102E-3</v>
      </c>
      <c r="I91">
        <f t="shared" si="4"/>
        <v>135.74864742446499</v>
      </c>
      <c r="J91" s="2">
        <f t="shared" si="5"/>
        <v>-1.28019343157472E-2</v>
      </c>
      <c r="K91">
        <f t="shared" si="6"/>
        <v>-0.91902220792852063</v>
      </c>
      <c r="L91" s="1">
        <f t="shared" si="7"/>
        <v>-0.93182414224426779</v>
      </c>
    </row>
    <row r="92" spans="1:12" x14ac:dyDescent="0.3">
      <c r="A92">
        <v>45</v>
      </c>
      <c r="B92">
        <v>180</v>
      </c>
      <c r="C92">
        <v>-0.133028653432506</v>
      </c>
      <c r="D92">
        <v>7.0559706639464301E-2</v>
      </c>
      <c r="E92">
        <v>7.0538357482264502E-2</v>
      </c>
      <c r="F92">
        <v>0.13571845699557999</v>
      </c>
      <c r="G92" s="1">
        <v>-1.2325941656265001E-5</v>
      </c>
      <c r="H92">
        <v>2.6898035630741001E-3</v>
      </c>
      <c r="I92">
        <f t="shared" si="4"/>
        <v>135.71845699558</v>
      </c>
      <c r="J92" s="2">
        <f t="shared" si="5"/>
        <v>-1.2325941656265001E-2</v>
      </c>
      <c r="K92">
        <f t="shared" si="6"/>
        <v>-0.9492126368135132</v>
      </c>
      <c r="L92" s="1">
        <f>J92+K92</f>
        <v>-0.96153857846977819</v>
      </c>
    </row>
    <row r="93" spans="1:12" x14ac:dyDescent="0.3">
      <c r="A93">
        <v>45.5</v>
      </c>
      <c r="B93">
        <v>182</v>
      </c>
      <c r="C93">
        <v>-0.133004363652625</v>
      </c>
      <c r="D93">
        <v>6.6399227043161702E-2</v>
      </c>
      <c r="E93">
        <v>7.4587247010039007E-2</v>
      </c>
      <c r="F93">
        <v>0.135747405954943</v>
      </c>
      <c r="G93" s="1">
        <v>-1.0166807835600599E-5</v>
      </c>
      <c r="H93">
        <v>2.6607034668582699E-3</v>
      </c>
      <c r="I93">
        <f t="shared" si="4"/>
        <v>135.74740595494299</v>
      </c>
      <c r="J93" s="2">
        <f t="shared" si="5"/>
        <v>-1.0166807835600599E-2</v>
      </c>
      <c r="K93">
        <f t="shared" si="6"/>
        <v>-0.92026367745052085</v>
      </c>
      <c r="L93" s="1">
        <f t="shared" ref="L93:L125" si="8">J93+K93</f>
        <v>-0.93043048528612149</v>
      </c>
    </row>
    <row r="94" spans="1:12" x14ac:dyDescent="0.3">
      <c r="A94">
        <v>46</v>
      </c>
      <c r="B94">
        <v>184</v>
      </c>
      <c r="C94">
        <v>-0.13290683827630501</v>
      </c>
      <c r="D94">
        <v>6.2115380469219897E-2</v>
      </c>
      <c r="E94">
        <v>7.8566694565232395E-2</v>
      </c>
      <c r="F94">
        <v>0.135831075011801</v>
      </c>
      <c r="G94" s="1">
        <v>2.3130148036944601E-5</v>
      </c>
      <c r="H94">
        <v>2.59174558604883E-3</v>
      </c>
      <c r="I94">
        <f t="shared" si="4"/>
        <v>135.831075011801</v>
      </c>
      <c r="J94" s="2">
        <f t="shared" si="5"/>
        <v>2.31301480369446E-2</v>
      </c>
      <c r="K94">
        <f t="shared" si="6"/>
        <v>-0.836594620592507</v>
      </c>
      <c r="L94" s="1">
        <f t="shared" si="8"/>
        <v>-0.81346447255556242</v>
      </c>
    </row>
    <row r="95" spans="1:12" x14ac:dyDescent="0.3">
      <c r="A95">
        <v>46.5</v>
      </c>
      <c r="B95">
        <v>186</v>
      </c>
      <c r="C95">
        <v>-0.13270255151281399</v>
      </c>
      <c r="D95">
        <v>5.7722417324037101E-2</v>
      </c>
      <c r="E95">
        <v>8.2511554700106501E-2</v>
      </c>
      <c r="F95">
        <v>0.135968326866517</v>
      </c>
      <c r="G95">
        <v>1.0000270188563E-4</v>
      </c>
      <c r="H95">
        <v>2.5104735037764499E-3</v>
      </c>
      <c r="I95">
        <f t="shared" si="4"/>
        <v>135.968326866517</v>
      </c>
      <c r="J95" s="2">
        <f t="shared" si="5"/>
        <v>0.10000270188563</v>
      </c>
      <c r="K95">
        <f t="shared" si="6"/>
        <v>-0.69934276587650857</v>
      </c>
      <c r="L95" s="1">
        <f t="shared" si="8"/>
        <v>-0.59934006399087858</v>
      </c>
    </row>
    <row r="96" spans="1:12" x14ac:dyDescent="0.3">
      <c r="A96">
        <v>47</v>
      </c>
      <c r="B96">
        <v>188</v>
      </c>
      <c r="C96">
        <v>-0.13235100209232101</v>
      </c>
      <c r="D96">
        <v>5.3114016223157499E-2</v>
      </c>
      <c r="E96">
        <v>8.6457321234274603E-2</v>
      </c>
      <c r="F96">
        <v>0.136125515907844</v>
      </c>
      <c r="G96">
        <v>3.0876079397916003E-4</v>
      </c>
      <c r="H96">
        <v>2.4067784550370099E-3</v>
      </c>
      <c r="I96">
        <f t="shared" si="4"/>
        <v>136.125515907844</v>
      </c>
      <c r="J96" s="2">
        <f t="shared" si="5"/>
        <v>0.30876079397916001</v>
      </c>
      <c r="K96">
        <f t="shared" si="6"/>
        <v>-0.54215372454950739</v>
      </c>
      <c r="L96" s="1">
        <f t="shared" si="8"/>
        <v>-0.23339293057034738</v>
      </c>
    </row>
    <row r="97" spans="1:12" x14ac:dyDescent="0.3">
      <c r="A97">
        <v>47.5</v>
      </c>
      <c r="B97">
        <v>190</v>
      </c>
      <c r="C97">
        <v>-0.131803669854096</v>
      </c>
      <c r="D97">
        <v>4.8451520410152903E-2</v>
      </c>
      <c r="E97">
        <v>9.0369429072478802E-2</v>
      </c>
      <c r="F97">
        <v>0.13630734747002499</v>
      </c>
      <c r="G97">
        <v>5.3999712903394495E-4</v>
      </c>
      <c r="H97">
        <v>2.33909320951192E-3</v>
      </c>
      <c r="I97">
        <f t="shared" si="4"/>
        <v>136.30734747002498</v>
      </c>
      <c r="J97" s="2">
        <f t="shared" si="5"/>
        <v>0.53999712903394492</v>
      </c>
      <c r="K97">
        <f t="shared" si="6"/>
        <v>-0.36032216236853287</v>
      </c>
      <c r="L97" s="1">
        <f t="shared" si="8"/>
        <v>0.17967496666541205</v>
      </c>
    </row>
    <row r="98" spans="1:12" x14ac:dyDescent="0.3">
      <c r="A98">
        <v>48</v>
      </c>
      <c r="B98">
        <v>192</v>
      </c>
      <c r="C98">
        <v>-0.131034124385596</v>
      </c>
      <c r="D98">
        <v>4.37243480226003E-2</v>
      </c>
      <c r="E98">
        <v>9.4216399321997601E-2</v>
      </c>
      <c r="F98">
        <v>0.13648357159749999</v>
      </c>
      <c r="G98">
        <v>7.9238477851290001E-4</v>
      </c>
      <c r="H98">
        <v>2.3022076530006502E-3</v>
      </c>
      <c r="I98">
        <f t="shared" si="4"/>
        <v>136.4835715975</v>
      </c>
      <c r="J98" s="2">
        <f t="shared" si="5"/>
        <v>0.79238477851290001</v>
      </c>
      <c r="K98">
        <f t="shared" si="6"/>
        <v>-0.18409803489350907</v>
      </c>
      <c r="L98" s="1">
        <f t="shared" si="8"/>
        <v>0.60828674361939095</v>
      </c>
    </row>
    <row r="99" spans="1:12" x14ac:dyDescent="0.3">
      <c r="A99">
        <v>48.5</v>
      </c>
      <c r="B99">
        <v>194</v>
      </c>
      <c r="C99">
        <v>-0.13004674288590901</v>
      </c>
      <c r="D99">
        <v>3.8938151298728699E-2</v>
      </c>
      <c r="E99">
        <v>9.7967944643418903E-2</v>
      </c>
      <c r="F99">
        <v>0.136647240457273</v>
      </c>
      <c r="G99">
        <v>1.0542225531629599E-3</v>
      </c>
      <c r="H99">
        <v>2.2864510187461098E-3</v>
      </c>
      <c r="I99">
        <f t="shared" si="4"/>
        <v>136.647240457273</v>
      </c>
      <c r="J99" s="2">
        <f t="shared" si="5"/>
        <v>1.0542225531629599</v>
      </c>
      <c r="K99">
        <f t="shared" si="6"/>
        <v>-2.04291751205119E-2</v>
      </c>
      <c r="L99" s="1">
        <f t="shared" si="8"/>
        <v>1.033793378042448</v>
      </c>
    </row>
    <row r="100" spans="1:12" x14ac:dyDescent="0.3">
      <c r="A100">
        <v>49</v>
      </c>
      <c r="B100">
        <v>196</v>
      </c>
      <c r="C100">
        <v>-0.12887315558451401</v>
      </c>
      <c r="D100">
        <v>3.4109641727589401E-2</v>
      </c>
      <c r="E100">
        <v>0.101538691135746</v>
      </c>
      <c r="F100">
        <v>0.13678234606086101</v>
      </c>
      <c r="G100">
        <v>1.2773375258023801E-3</v>
      </c>
      <c r="H100">
        <v>2.2583924262739499E-3</v>
      </c>
      <c r="I100">
        <f t="shared" si="4"/>
        <v>136.78234606086102</v>
      </c>
      <c r="J100" s="2">
        <f t="shared" si="5"/>
        <v>1.27733752580238</v>
      </c>
      <c r="K100">
        <f t="shared" si="6"/>
        <v>0.11467642846750437</v>
      </c>
      <c r="L100" s="1">
        <f t="shared" si="8"/>
        <v>1.3920139542698844</v>
      </c>
    </row>
    <row r="101" spans="1:12" x14ac:dyDescent="0.3">
      <c r="A101">
        <v>49.5</v>
      </c>
      <c r="B101">
        <v>198</v>
      </c>
      <c r="C101">
        <v>-0.12757479265889399</v>
      </c>
      <c r="D101">
        <v>2.92501157511302E-2</v>
      </c>
      <c r="E101">
        <v>0.104863709100988</v>
      </c>
      <c r="F101">
        <v>0.136894134462962</v>
      </c>
      <c r="G101">
        <v>1.42253848478039E-3</v>
      </c>
      <c r="H101">
        <v>2.1796773977413998E-3</v>
      </c>
      <c r="I101">
        <f t="shared" si="4"/>
        <v>136.894134462962</v>
      </c>
      <c r="J101" s="2">
        <f t="shared" si="5"/>
        <v>1.4225384847803899</v>
      </c>
      <c r="K101">
        <f t="shared" si="6"/>
        <v>0.22646483056848865</v>
      </c>
      <c r="L101" s="1">
        <f t="shared" si="8"/>
        <v>1.6490033153488786</v>
      </c>
    </row>
    <row r="102" spans="1:12" x14ac:dyDescent="0.3">
      <c r="A102">
        <v>50</v>
      </c>
      <c r="B102">
        <v>200</v>
      </c>
      <c r="C102">
        <v>-0.12620458447388599</v>
      </c>
      <c r="D102">
        <v>2.4352111637198501E-2</v>
      </c>
      <c r="E102">
        <v>0.10790868282412</v>
      </c>
      <c r="F102">
        <v>0.13699004225953901</v>
      </c>
      <c r="G102">
        <v>1.4771372561946799E-3</v>
      </c>
      <c r="H102">
        <v>2.01873666247736E-3</v>
      </c>
      <c r="I102">
        <f t="shared" si="4"/>
        <v>136.990042259539</v>
      </c>
      <c r="J102" s="2">
        <f t="shared" si="5"/>
        <v>1.4771372561946801</v>
      </c>
      <c r="K102">
        <f t="shared" si="6"/>
        <v>0.32237262714548365</v>
      </c>
      <c r="L102" s="1">
        <f t="shared" si="8"/>
        <v>1.7995098833401637</v>
      </c>
    </row>
    <row r="103" spans="1:12" x14ac:dyDescent="0.3">
      <c r="A103">
        <v>50.5</v>
      </c>
      <c r="B103">
        <v>202</v>
      </c>
      <c r="C103">
        <v>-0.124797367428426</v>
      </c>
      <c r="D103">
        <v>1.94422747062401E-2</v>
      </c>
      <c r="E103">
        <v>0.110651535530206</v>
      </c>
      <c r="F103">
        <v>0.137073697155706</v>
      </c>
      <c r="G103">
        <v>1.41393807109847E-3</v>
      </c>
      <c r="H103">
        <v>1.7654809360064601E-3</v>
      </c>
      <c r="I103">
        <f t="shared" si="4"/>
        <v>137.07369715570599</v>
      </c>
      <c r="J103" s="2">
        <f t="shared" si="5"/>
        <v>1.4139380710984699</v>
      </c>
      <c r="K103">
        <f t="shared" si="6"/>
        <v>0.40602752331247416</v>
      </c>
      <c r="L103" s="1">
        <f t="shared" si="8"/>
        <v>1.8199655944109441</v>
      </c>
    </row>
    <row r="104" spans="1:12" x14ac:dyDescent="0.3">
      <c r="A104">
        <v>51</v>
      </c>
      <c r="B104">
        <v>204</v>
      </c>
      <c r="C104">
        <v>-0.12337335756293399</v>
      </c>
      <c r="D104">
        <v>1.45207142021025E-2</v>
      </c>
      <c r="E104">
        <v>0.113097793902688</v>
      </c>
      <c r="F104">
        <v>0.137148690420279</v>
      </c>
      <c r="G104">
        <v>1.2370545415328301E-3</v>
      </c>
      <c r="H104">
        <v>1.41505018061864E-3</v>
      </c>
      <c r="I104">
        <f t="shared" si="4"/>
        <v>137.148690420279</v>
      </c>
      <c r="J104" s="2">
        <f t="shared" si="5"/>
        <v>1.23705454153283</v>
      </c>
      <c r="K104">
        <f t="shared" si="6"/>
        <v>0.48102078788548397</v>
      </c>
      <c r="L104" s="1">
        <f t="shared" si="8"/>
        <v>1.718075329418314</v>
      </c>
    </row>
    <row r="105" spans="1:12" x14ac:dyDescent="0.3">
      <c r="A105">
        <v>51.5</v>
      </c>
      <c r="B105">
        <v>206</v>
      </c>
      <c r="C105">
        <v>-0.121935812202733</v>
      </c>
      <c r="D105">
        <v>9.59086790594256E-3</v>
      </c>
      <c r="E105">
        <v>0.115260977885266</v>
      </c>
      <c r="F105">
        <v>0.137213258986704</v>
      </c>
      <c r="G105">
        <v>9.5498267787415703E-4</v>
      </c>
      <c r="H105">
        <v>9.7201119615874599E-4</v>
      </c>
      <c r="I105">
        <f t="shared" si="4"/>
        <v>137.21325898670401</v>
      </c>
      <c r="J105" s="2">
        <f t="shared" si="5"/>
        <v>0.95498267787415703</v>
      </c>
      <c r="K105">
        <f t="shared" si="6"/>
        <v>0.54558935431049349</v>
      </c>
      <c r="L105" s="1">
        <f t="shared" si="8"/>
        <v>1.5005720321846505</v>
      </c>
    </row>
    <row r="106" spans="1:12" x14ac:dyDescent="0.3">
      <c r="A106">
        <v>52</v>
      </c>
      <c r="B106">
        <v>208</v>
      </c>
      <c r="C106">
        <v>-0.120462449406462</v>
      </c>
      <c r="D106">
        <v>4.6247603526043896E-3</v>
      </c>
      <c r="E106">
        <v>0.117178822646993</v>
      </c>
      <c r="F106">
        <v>0.13726447266509001</v>
      </c>
      <c r="G106">
        <v>6.1311868492369595E-4</v>
      </c>
      <c r="H106">
        <v>4.4704453104528003E-4</v>
      </c>
      <c r="I106">
        <f t="shared" si="4"/>
        <v>137.26447266509001</v>
      </c>
      <c r="J106" s="2">
        <f t="shared" si="5"/>
        <v>0.61311868492369592</v>
      </c>
      <c r="K106">
        <f t="shared" si="6"/>
        <v>0.59680303269649926</v>
      </c>
      <c r="L106" s="1">
        <f t="shared" si="8"/>
        <v>1.2099217176201953</v>
      </c>
    </row>
    <row r="107" spans="1:12" x14ac:dyDescent="0.3">
      <c r="A107">
        <v>52.5</v>
      </c>
      <c r="B107">
        <v>210</v>
      </c>
      <c r="C107">
        <v>-0.11890968468613899</v>
      </c>
      <c r="D107">
        <v>-2.745686985644E-4</v>
      </c>
      <c r="E107">
        <v>0.118881585328535</v>
      </c>
      <c r="F107">
        <v>0.137288853753915</v>
      </c>
      <c r="G107">
        <v>1.7367934650812299E-4</v>
      </c>
      <c r="H107">
        <v>-1.0088935205623801E-4</v>
      </c>
      <c r="I107">
        <f t="shared" si="4"/>
        <v>137.28885375391499</v>
      </c>
      <c r="J107" s="2">
        <f t="shared" si="5"/>
        <v>0.173679346508123</v>
      </c>
      <c r="K107">
        <f t="shared" si="6"/>
        <v>0.62118412152148039</v>
      </c>
      <c r="L107" s="1">
        <f t="shared" si="8"/>
        <v>0.79486346802960339</v>
      </c>
    </row>
    <row r="108" spans="1:12" x14ac:dyDescent="0.3">
      <c r="A108">
        <v>53</v>
      </c>
      <c r="B108">
        <v>212</v>
      </c>
      <c r="C108">
        <v>-0.117194600485427</v>
      </c>
      <c r="D108">
        <v>-5.2467030777419996E-3</v>
      </c>
      <c r="E108">
        <v>0.12044666413582999</v>
      </c>
      <c r="F108">
        <v>0.137278571523239</v>
      </c>
      <c r="G108">
        <v>-2.09257259438752E-4</v>
      </c>
      <c r="H108">
        <v>-6.6487980911290802E-4</v>
      </c>
      <c r="I108">
        <f t="shared" si="4"/>
        <v>137.27857152323901</v>
      </c>
      <c r="J108" s="2">
        <f t="shared" si="5"/>
        <v>-0.20925725943875201</v>
      </c>
      <c r="K108">
        <f t="shared" si="6"/>
        <v>0.61090189084549706</v>
      </c>
      <c r="L108" s="1">
        <f t="shared" si="8"/>
        <v>0.40164463140674506</v>
      </c>
    </row>
    <row r="109" spans="1:12" x14ac:dyDescent="0.3">
      <c r="A109">
        <v>53.5</v>
      </c>
      <c r="B109">
        <v>214</v>
      </c>
      <c r="C109">
        <v>-0.115289012393234</v>
      </c>
      <c r="D109">
        <v>-1.0174770160762899E-2</v>
      </c>
      <c r="E109">
        <v>0.121917561626035</v>
      </c>
      <c r="F109">
        <v>0.137244971728746</v>
      </c>
      <c r="G109">
        <v>-5.8244756178721304E-4</v>
      </c>
      <c r="H109">
        <v>-1.18207364265389E-3</v>
      </c>
      <c r="I109">
        <f t="shared" si="4"/>
        <v>137.24497172874601</v>
      </c>
      <c r="J109" s="2">
        <f t="shared" si="5"/>
        <v>-0.58244756178721302</v>
      </c>
      <c r="K109">
        <f t="shared" si="6"/>
        <v>0.57730209635249707</v>
      </c>
      <c r="L109" s="1">
        <f t="shared" si="8"/>
        <v>-5.1454654347159456E-3</v>
      </c>
    </row>
    <row r="110" spans="1:12" x14ac:dyDescent="0.3">
      <c r="A110">
        <v>54</v>
      </c>
      <c r="B110">
        <v>216</v>
      </c>
      <c r="C110">
        <v>-0.11313107940262999</v>
      </c>
      <c r="D110">
        <v>-1.50910402885201E-2</v>
      </c>
      <c r="E110">
        <v>0.123361217248336</v>
      </c>
      <c r="F110">
        <v>0.13719899249710599</v>
      </c>
      <c r="G110">
        <v>-8.7525511242932097E-4</v>
      </c>
      <c r="H110">
        <v>-1.62030081427131E-3</v>
      </c>
      <c r="I110">
        <f t="shared" si="4"/>
        <v>137.19899249710599</v>
      </c>
      <c r="J110" s="2">
        <f t="shared" si="5"/>
        <v>-0.87525511242932097</v>
      </c>
      <c r="K110">
        <f t="shared" si="6"/>
        <v>0.5313228647124788</v>
      </c>
      <c r="L110" s="1">
        <f t="shared" si="8"/>
        <v>-0.34393224771684217</v>
      </c>
    </row>
    <row r="111" spans="1:12" x14ac:dyDescent="0.3">
      <c r="A111">
        <v>54.5</v>
      </c>
      <c r="B111">
        <v>218</v>
      </c>
      <c r="C111">
        <v>-0.110683043033658</v>
      </c>
      <c r="D111">
        <v>-1.9989127390468701E-2</v>
      </c>
      <c r="E111">
        <v>0.124775584087986</v>
      </c>
      <c r="F111">
        <v>0.13712752267158401</v>
      </c>
      <c r="G111">
        <v>-1.07128966277706E-3</v>
      </c>
      <c r="H111">
        <v>-1.9655287787136901E-3</v>
      </c>
      <c r="I111">
        <f t="shared" si="4"/>
        <v>137.12752267158402</v>
      </c>
      <c r="J111" s="2">
        <f t="shared" si="5"/>
        <v>-1.0712896627770601</v>
      </c>
      <c r="K111">
        <f t="shared" si="6"/>
        <v>0.4598530391905058</v>
      </c>
      <c r="L111" s="1">
        <f t="shared" si="8"/>
        <v>-0.61143662358655426</v>
      </c>
    </row>
    <row r="112" spans="1:12" x14ac:dyDescent="0.3">
      <c r="A112">
        <v>55</v>
      </c>
      <c r="B112">
        <v>220</v>
      </c>
      <c r="C112">
        <v>-0.107940070607365</v>
      </c>
      <c r="D112">
        <v>-2.4875799125416299E-2</v>
      </c>
      <c r="E112">
        <v>0.1261795883239</v>
      </c>
      <c r="F112">
        <v>0.13705103767103499</v>
      </c>
      <c r="G112">
        <v>-1.15246616713725E-3</v>
      </c>
      <c r="H112">
        <v>-2.2120938029602999E-3</v>
      </c>
      <c r="I112">
        <f t="shared" si="4"/>
        <v>137.051037671035</v>
      </c>
      <c r="J112" s="2">
        <f t="shared" si="5"/>
        <v>-1.15246616713725</v>
      </c>
      <c r="K112">
        <f t="shared" si="6"/>
        <v>0.3833680386414926</v>
      </c>
      <c r="L112" s="1">
        <f t="shared" si="8"/>
        <v>-0.76909812849575743</v>
      </c>
    </row>
    <row r="113" spans="1:12" x14ac:dyDescent="0.3">
      <c r="A113">
        <v>55.5</v>
      </c>
      <c r="B113">
        <v>222</v>
      </c>
      <c r="C113">
        <v>-0.104896245329188</v>
      </c>
      <c r="D113">
        <v>-2.9728356860428198E-2</v>
      </c>
      <c r="E113">
        <v>0.12755102429593601</v>
      </c>
      <c r="F113">
        <v>0.13696147179016699</v>
      </c>
      <c r="G113">
        <v>-1.1300887651501E-3</v>
      </c>
      <c r="H113">
        <v>-2.3578592978935999E-3</v>
      </c>
      <c r="I113">
        <f t="shared" ref="I113:I176" si="9">F113*1000</f>
        <v>136.961471790167</v>
      </c>
      <c r="J113" s="2">
        <f t="shared" ref="J113:J176" si="10">G113*1000</f>
        <v>-1.1300887651500999</v>
      </c>
      <c r="K113">
        <f t="shared" si="6"/>
        <v>0.2938021577734844</v>
      </c>
      <c r="L113" s="1">
        <f t="shared" si="8"/>
        <v>-0.83628660737661553</v>
      </c>
    </row>
    <row r="114" spans="1:12" x14ac:dyDescent="0.3">
      <c r="A114">
        <v>56</v>
      </c>
      <c r="B114">
        <v>224</v>
      </c>
      <c r="C114">
        <v>-0.10157307063964401</v>
      </c>
      <c r="D114">
        <v>-3.4568191573948998E-2</v>
      </c>
      <c r="E114">
        <v>0.12885322002765501</v>
      </c>
      <c r="F114">
        <v>0.136860013065083</v>
      </c>
      <c r="G114">
        <v>-1.0003028845533299E-3</v>
      </c>
      <c r="H114">
        <v>-2.4293473953124101E-3</v>
      </c>
      <c r="I114">
        <f t="shared" si="9"/>
        <v>136.860013065083</v>
      </c>
      <c r="J114" s="2">
        <f t="shared" si="10"/>
        <v>-1.0003028845533299</v>
      </c>
      <c r="K114">
        <f t="shared" si="6"/>
        <v>0.19234343268948351</v>
      </c>
      <c r="L114" s="1">
        <f t="shared" si="8"/>
        <v>-0.80795945186384643</v>
      </c>
    </row>
    <row r="115" spans="1:12" x14ac:dyDescent="0.3">
      <c r="A115">
        <v>56.5</v>
      </c>
      <c r="B115">
        <v>226</v>
      </c>
      <c r="C115">
        <v>-9.80230995314888E-2</v>
      </c>
      <c r="D115">
        <v>-3.9357008008548897E-2</v>
      </c>
      <c r="E115">
        <v>0.130024768322231</v>
      </c>
      <c r="F115">
        <v>0.136735536814211</v>
      </c>
      <c r="G115">
        <v>-8.1579610185286699E-4</v>
      </c>
      <c r="H115">
        <v>-2.4517797392687498E-3</v>
      </c>
      <c r="I115">
        <f t="shared" si="9"/>
        <v>136.735536814211</v>
      </c>
      <c r="J115" s="2">
        <f t="shared" si="10"/>
        <v>-0.81579610185286699</v>
      </c>
      <c r="K115">
        <f t="shared" si="6"/>
        <v>6.7867181817490518E-2</v>
      </c>
      <c r="L115" s="1">
        <f t="shared" si="8"/>
        <v>-0.74792892003537648</v>
      </c>
    </row>
    <row r="116" spans="1:12" x14ac:dyDescent="0.3">
      <c r="A116">
        <v>57</v>
      </c>
      <c r="B116">
        <v>228</v>
      </c>
      <c r="C116">
        <v>-9.4279573905921996E-2</v>
      </c>
      <c r="D116">
        <v>-4.4116246622117099E-2</v>
      </c>
      <c r="E116">
        <v>0.13101311035111601</v>
      </c>
      <c r="F116">
        <v>0.136578785295875</v>
      </c>
      <c r="G116">
        <v>-5.7811758637116002E-4</v>
      </c>
      <c r="H116">
        <v>-2.4609033923076E-3</v>
      </c>
      <c r="I116">
        <f t="shared" si="9"/>
        <v>136.57878529587501</v>
      </c>
      <c r="J116" s="2">
        <f t="shared" si="10"/>
        <v>-0.57811758637116006</v>
      </c>
      <c r="K116">
        <f t="shared" si="6"/>
        <v>-8.8884336518503915E-2</v>
      </c>
      <c r="L116" s="1">
        <f t="shared" si="8"/>
        <v>-0.66700192288966398</v>
      </c>
    </row>
    <row r="117" spans="1:12" x14ac:dyDescent="0.3">
      <c r="A117">
        <v>57.5</v>
      </c>
      <c r="B117">
        <v>230</v>
      </c>
      <c r="C117">
        <v>-9.0442805400835005E-2</v>
      </c>
      <c r="D117">
        <v>-4.8824728830060601E-2</v>
      </c>
      <c r="E117">
        <v>0.131792898331724</v>
      </c>
      <c r="F117">
        <v>0.136416815678849</v>
      </c>
      <c r="G117">
        <v>-3.4491631944852798E-4</v>
      </c>
      <c r="H117">
        <v>-2.4915452997237302E-3</v>
      </c>
      <c r="I117">
        <f t="shared" si="9"/>
        <v>136.41681567884899</v>
      </c>
      <c r="J117" s="2">
        <f t="shared" si="10"/>
        <v>-0.34491631944852796</v>
      </c>
      <c r="K117">
        <f t="shared" si="6"/>
        <v>-0.25085395354452089</v>
      </c>
      <c r="L117" s="1">
        <f t="shared" si="8"/>
        <v>-0.59577027299304885</v>
      </c>
    </row>
    <row r="118" spans="1:12" x14ac:dyDescent="0.3">
      <c r="A118">
        <v>58</v>
      </c>
      <c r="B118">
        <v>232</v>
      </c>
      <c r="C118">
        <v>-8.6531113477247901E-2</v>
      </c>
      <c r="D118">
        <v>-5.3469176594448803E-2</v>
      </c>
      <c r="E118">
        <v>0.132339692159509</v>
      </c>
      <c r="F118">
        <v>0.13623703363628401</v>
      </c>
      <c r="G118">
        <v>-1.29043565561419E-4</v>
      </c>
      <c r="H118">
        <v>-2.5535326373956699E-3</v>
      </c>
      <c r="I118">
        <f t="shared" si="9"/>
        <v>136.237033636284</v>
      </c>
      <c r="J118" s="2">
        <f t="shared" si="10"/>
        <v>-0.12904356556141899</v>
      </c>
      <c r="K118">
        <f t="shared" si="6"/>
        <v>-0.43063599610951542</v>
      </c>
      <c r="L118" s="1">
        <f t="shared" si="8"/>
        <v>-0.55967956167093447</v>
      </c>
    </row>
    <row r="119" spans="1:12" x14ac:dyDescent="0.3">
      <c r="A119">
        <v>58.5</v>
      </c>
      <c r="B119">
        <v>234</v>
      </c>
      <c r="C119">
        <v>-8.25950024590274E-2</v>
      </c>
      <c r="D119">
        <v>-5.8015321570118399E-2</v>
      </c>
      <c r="E119">
        <v>0.13269240116810599</v>
      </c>
      <c r="F119">
        <v>0.13607371987436101</v>
      </c>
      <c r="G119" s="1">
        <v>3.2670423773349403E-5</v>
      </c>
      <c r="H119">
        <v>-2.6393076203464201E-3</v>
      </c>
      <c r="I119">
        <f t="shared" si="9"/>
        <v>136.07371987436102</v>
      </c>
      <c r="J119" s="2">
        <f t="shared" si="10"/>
        <v>3.2670423773349402E-2</v>
      </c>
      <c r="K119">
        <f t="shared" si="6"/>
        <v>-0.59394975803249395</v>
      </c>
      <c r="L119" s="1">
        <f t="shared" si="8"/>
        <v>-0.56127933425914456</v>
      </c>
    </row>
    <row r="120" spans="1:12" x14ac:dyDescent="0.3">
      <c r="A120">
        <v>59</v>
      </c>
      <c r="B120">
        <v>236</v>
      </c>
      <c r="C120">
        <v>-7.8657832532239805E-2</v>
      </c>
      <c r="D120">
        <v>-6.2430057816480498E-2</v>
      </c>
      <c r="E120">
        <v>0.132898511570299</v>
      </c>
      <c r="F120">
        <v>0.13595147684607201</v>
      </c>
      <c r="G120">
        <v>1.14664842388838E-4</v>
      </c>
      <c r="H120">
        <v>-2.7297929261402001E-3</v>
      </c>
      <c r="I120">
        <f t="shared" si="9"/>
        <v>135.95147684607201</v>
      </c>
      <c r="J120" s="2">
        <f t="shared" si="10"/>
        <v>0.11466484238883801</v>
      </c>
      <c r="K120">
        <f t="shared" si="6"/>
        <v>-0.71619278632149985</v>
      </c>
      <c r="L120" s="1">
        <f t="shared" si="8"/>
        <v>-0.60152794393266185</v>
      </c>
    </row>
    <row r="121" spans="1:12" x14ac:dyDescent="0.3">
      <c r="A121">
        <v>59.5</v>
      </c>
      <c r="B121">
        <v>238</v>
      </c>
      <c r="C121">
        <v>-7.4696689482209103E-2</v>
      </c>
      <c r="D121">
        <v>-6.6696723247125805E-2</v>
      </c>
      <c r="E121">
        <v>0.133001898913196</v>
      </c>
      <c r="F121">
        <v>0.13587753825104301</v>
      </c>
      <c r="G121">
        <v>1.2335018040008001E-4</v>
      </c>
      <c r="H121">
        <v>-2.79717127204602E-3</v>
      </c>
      <c r="I121">
        <f t="shared" si="9"/>
        <v>135.87753825104301</v>
      </c>
      <c r="J121" s="2">
        <f t="shared" si="10"/>
        <v>0.12335018040008001</v>
      </c>
      <c r="K121">
        <f t="shared" si="6"/>
        <v>-0.79013138135050554</v>
      </c>
      <c r="L121" s="1">
        <f t="shared" si="8"/>
        <v>-0.66678120095042548</v>
      </c>
    </row>
    <row r="122" spans="1:12" x14ac:dyDescent="0.3">
      <c r="A122">
        <v>60</v>
      </c>
      <c r="B122">
        <v>240</v>
      </c>
      <c r="C122">
        <v>-7.0668135935819207E-2</v>
      </c>
      <c r="D122">
        <v>-7.0830119235367597E-2</v>
      </c>
      <c r="E122">
        <v>0.13304163189034199</v>
      </c>
      <c r="F122">
        <v>0.13586050631728999</v>
      </c>
      <c r="G122" s="1">
        <v>9.3521101598551405E-5</v>
      </c>
      <c r="H122">
        <v>-2.81887442694808E-3</v>
      </c>
      <c r="I122">
        <f t="shared" si="9"/>
        <v>135.86050631729</v>
      </c>
      <c r="J122" s="2">
        <f t="shared" si="10"/>
        <v>9.3521101598551398E-2</v>
      </c>
      <c r="K122">
        <f t="shared" si="6"/>
        <v>-0.80716331510350869</v>
      </c>
      <c r="L122" s="1">
        <f t="shared" si="8"/>
        <v>-0.71364221350495727</v>
      </c>
    </row>
    <row r="123" spans="1:12" x14ac:dyDescent="0.3">
      <c r="A123">
        <v>60.5</v>
      </c>
      <c r="B123">
        <v>242</v>
      </c>
      <c r="C123">
        <v>-6.65175666794698E-2</v>
      </c>
      <c r="D123">
        <v>-7.48636833849608E-2</v>
      </c>
      <c r="E123">
        <v>0.13301497377737501</v>
      </c>
      <c r="F123">
        <v>0.13588917243210999</v>
      </c>
      <c r="G123" s="1">
        <v>7.6215429783792798E-5</v>
      </c>
      <c r="H123">
        <v>-2.7887587623516702E-3</v>
      </c>
      <c r="I123">
        <f t="shared" si="9"/>
        <v>135.88917243211</v>
      </c>
      <c r="J123" s="2">
        <f t="shared" si="10"/>
        <v>7.6215429783792796E-2</v>
      </c>
      <c r="K123">
        <f t="shared" si="6"/>
        <v>-0.77849720028351044</v>
      </c>
      <c r="L123" s="1">
        <f t="shared" si="8"/>
        <v>-0.70228177049971763</v>
      </c>
    </row>
    <row r="124" spans="1:12" x14ac:dyDescent="0.3">
      <c r="A124">
        <v>61</v>
      </c>
      <c r="B124">
        <v>244</v>
      </c>
      <c r="C124">
        <v>-6.2287669286447502E-2</v>
      </c>
      <c r="D124">
        <v>-7.8810516274458994E-2</v>
      </c>
      <c r="E124">
        <v>0.13292277194502899</v>
      </c>
      <c r="F124">
        <v>0.13598291812580501</v>
      </c>
      <c r="G124" s="1">
        <v>5.3912626864608502E-5</v>
      </c>
      <c r="H124">
        <v>-2.7251378719591402E-3</v>
      </c>
      <c r="I124">
        <f t="shared" si="9"/>
        <v>135.98291812580501</v>
      </c>
      <c r="J124" s="2">
        <f t="shared" si="10"/>
        <v>5.3912626864608501E-2</v>
      </c>
      <c r="K124">
        <f t="shared" si="6"/>
        <v>-0.6847515065884977</v>
      </c>
      <c r="L124" s="1">
        <f t="shared" si="8"/>
        <v>-0.63083887972388919</v>
      </c>
    </row>
    <row r="125" spans="1:12" x14ac:dyDescent="0.3">
      <c r="A125">
        <v>61.5</v>
      </c>
      <c r="B125">
        <v>246</v>
      </c>
      <c r="C125">
        <v>-5.78241301658423E-2</v>
      </c>
      <c r="D125">
        <v>-8.2760929895078106E-2</v>
      </c>
      <c r="E125">
        <v>0.13273177048124701</v>
      </c>
      <c r="F125">
        <v>0.13611299907024499</v>
      </c>
      <c r="G125">
        <v>1.70519536701575E-4</v>
      </c>
      <c r="H125">
        <v>-2.61776319322438E-3</v>
      </c>
      <c r="I125">
        <f t="shared" si="9"/>
        <v>136.112999070245</v>
      </c>
      <c r="J125" s="2">
        <f t="shared" si="10"/>
        <v>0.17051953670157499</v>
      </c>
      <c r="K125">
        <f t="shared" si="6"/>
        <v>-0.55467056214851596</v>
      </c>
      <c r="L125" s="1">
        <f t="shared" si="8"/>
        <v>-0.38415102544694096</v>
      </c>
    </row>
    <row r="126" spans="1:12" x14ac:dyDescent="0.3">
      <c r="A126">
        <v>62</v>
      </c>
      <c r="B126">
        <v>248</v>
      </c>
      <c r="C126">
        <v>-5.3336892575158501E-2</v>
      </c>
      <c r="D126">
        <v>-8.6657865747266097E-2</v>
      </c>
      <c r="E126">
        <v>0.132391580392517</v>
      </c>
      <c r="F126">
        <v>0.136290277158965</v>
      </c>
      <c r="G126">
        <v>2.7258510718185399E-4</v>
      </c>
      <c r="H126">
        <v>-2.5343926433025001E-3</v>
      </c>
      <c r="I126">
        <f t="shared" si="9"/>
        <v>136.29027715896498</v>
      </c>
      <c r="J126" s="2">
        <f t="shared" si="10"/>
        <v>0.27258510718185397</v>
      </c>
      <c r="K126">
        <f t="shared" si="6"/>
        <v>-0.37739247342852877</v>
      </c>
      <c r="L126" s="1">
        <f>J126+K126</f>
        <v>-0.1048073662466748</v>
      </c>
    </row>
    <row r="127" spans="1:12" x14ac:dyDescent="0.3">
      <c r="A127">
        <v>62.5</v>
      </c>
      <c r="B127">
        <v>250</v>
      </c>
      <c r="C127">
        <v>-4.8641676792689298E-2</v>
      </c>
      <c r="D127">
        <v>-9.0558208401710805E-2</v>
      </c>
      <c r="E127">
        <v>0.13184936879124701</v>
      </c>
      <c r="F127">
        <v>0.13646160546643599</v>
      </c>
      <c r="G127">
        <v>5.1198997537494901E-4</v>
      </c>
      <c r="H127">
        <v>-2.4501721343841302E-3</v>
      </c>
      <c r="I127">
        <f t="shared" si="9"/>
        <v>136.461605466436</v>
      </c>
      <c r="J127" s="2">
        <f t="shared" si="10"/>
        <v>0.51198997537494906</v>
      </c>
      <c r="K127">
        <f t="shared" si="6"/>
        <v>-0.20606416595751398</v>
      </c>
      <c r="L127" s="1">
        <f>J127+K127</f>
        <v>0.30592580941743508</v>
      </c>
    </row>
    <row r="128" spans="1:12" x14ac:dyDescent="0.3">
      <c r="A128">
        <v>63</v>
      </c>
      <c r="B128">
        <v>252</v>
      </c>
      <c r="C128">
        <v>-4.3919531949437603E-2</v>
      </c>
      <c r="D128">
        <v>-9.4394082843017299E-2</v>
      </c>
      <c r="E128">
        <v>0.13108523469519201</v>
      </c>
      <c r="F128">
        <v>0.136636372970357</v>
      </c>
      <c r="G128">
        <v>7.4957625373781695E-4</v>
      </c>
      <c r="H128">
        <v>-2.40946003242079E-3</v>
      </c>
      <c r="I128">
        <f t="shared" si="9"/>
        <v>136.636372970357</v>
      </c>
      <c r="J128" s="2">
        <f t="shared" si="10"/>
        <v>0.749576253737817</v>
      </c>
      <c r="K128">
        <f t="shared" si="6"/>
        <v>-3.129666203651027E-2</v>
      </c>
      <c r="L128" s="1">
        <f t="shared" ref="L128:L142" si="11">J128+K128</f>
        <v>0.71827959170130673</v>
      </c>
    </row>
    <row r="129" spans="1:12" x14ac:dyDescent="0.3">
      <c r="A129">
        <v>63.5</v>
      </c>
      <c r="B129">
        <v>254</v>
      </c>
      <c r="C129">
        <v>-3.9167607746123601E-2</v>
      </c>
      <c r="D129">
        <v>-9.8119735534077698E-2</v>
      </c>
      <c r="E129">
        <v>0.13010674772559799</v>
      </c>
      <c r="F129">
        <v>0.136798515137737</v>
      </c>
      <c r="G129">
        <v>9.7029258692959898E-4</v>
      </c>
      <c r="H129">
        <v>-2.3935318515342901E-3</v>
      </c>
      <c r="I129">
        <f t="shared" si="9"/>
        <v>136.79851513773698</v>
      </c>
      <c r="J129" s="2">
        <f t="shared" si="10"/>
        <v>0.97029258692959897</v>
      </c>
      <c r="K129">
        <f t="shared" si="6"/>
        <v>0.13084550534347272</v>
      </c>
      <c r="L129" s="1">
        <f t="shared" si="11"/>
        <v>1.1011380922730716</v>
      </c>
    </row>
    <row r="130" spans="1:12" x14ac:dyDescent="0.3">
      <c r="A130">
        <v>64</v>
      </c>
      <c r="B130">
        <v>256</v>
      </c>
      <c r="C130">
        <v>-3.4353035560026203E-2</v>
      </c>
      <c r="D130">
        <v>-0.10167165459913501</v>
      </c>
      <c r="E130">
        <v>0.12894045715854699</v>
      </c>
      <c r="F130">
        <v>0.13692849448334199</v>
      </c>
      <c r="G130">
        <v>1.1691037654583999E-3</v>
      </c>
      <c r="H130">
        <v>-2.3614110002048499E-3</v>
      </c>
      <c r="I130">
        <f t="shared" si="9"/>
        <v>136.92849448334198</v>
      </c>
      <c r="J130" s="2">
        <f t="shared" si="10"/>
        <v>1.1691037654584</v>
      </c>
      <c r="K130">
        <f t="shared" si="6"/>
        <v>0.26082485094846675</v>
      </c>
      <c r="L130" s="1">
        <f t="shared" si="11"/>
        <v>1.4299286164068667</v>
      </c>
    </row>
    <row r="131" spans="1:12" x14ac:dyDescent="0.3">
      <c r="A131">
        <v>64.5</v>
      </c>
      <c r="B131">
        <v>258</v>
      </c>
      <c r="C131">
        <v>-2.9500721980698801E-2</v>
      </c>
      <c r="D131">
        <v>-0.10498897965246901</v>
      </c>
      <c r="E131">
        <v>0.12764708210242401</v>
      </c>
      <c r="F131">
        <v>0.13703676744520499</v>
      </c>
      <c r="G131">
        <v>1.3001076923303801E-3</v>
      </c>
      <c r="H131">
        <v>-2.2808731769145899E-3</v>
      </c>
      <c r="I131">
        <f t="shared" si="9"/>
        <v>137.03676744520499</v>
      </c>
      <c r="J131" s="2">
        <f t="shared" si="10"/>
        <v>1.30010769233038</v>
      </c>
      <c r="K131">
        <f t="shared" ref="K131:K182" si="12">I131-$I$1</f>
        <v>0.36909781281147502</v>
      </c>
      <c r="L131" s="1">
        <f t="shared" si="11"/>
        <v>1.6692055051418551</v>
      </c>
    </row>
    <row r="132" spans="1:12" x14ac:dyDescent="0.3">
      <c r="A132">
        <v>65</v>
      </c>
      <c r="B132">
        <v>260</v>
      </c>
      <c r="C132">
        <v>-2.4627060958743601E-2</v>
      </c>
      <c r="D132">
        <v>-0.108023980149653</v>
      </c>
      <c r="E132">
        <v>0.126280733703235</v>
      </c>
      <c r="F132">
        <v>0.13712845838825</v>
      </c>
      <c r="G132">
        <v>1.3286671884640501E-3</v>
      </c>
      <c r="H132">
        <v>-2.12343580172077E-3</v>
      </c>
      <c r="I132">
        <f t="shared" si="9"/>
        <v>137.12845838825001</v>
      </c>
      <c r="J132" s="2">
        <f t="shared" si="10"/>
        <v>1.3286671884640502</v>
      </c>
      <c r="K132">
        <f t="shared" si="12"/>
        <v>0.46078875585649826</v>
      </c>
      <c r="L132" s="1">
        <f t="shared" si="11"/>
        <v>1.7894559443205484</v>
      </c>
    </row>
    <row r="133" spans="1:12" x14ac:dyDescent="0.3">
      <c r="A133">
        <v>65.5</v>
      </c>
      <c r="B133">
        <v>262</v>
      </c>
      <c r="C133">
        <v>-1.9728929750496501E-2</v>
      </c>
      <c r="D133">
        <v>-0.110762774261392</v>
      </c>
      <c r="E133">
        <v>0.124876341636348</v>
      </c>
      <c r="F133">
        <v>0.137207547554586</v>
      </c>
      <c r="G133">
        <v>1.25062860795716E-3</v>
      </c>
      <c r="H133">
        <v>-1.8717874585136901E-3</v>
      </c>
      <c r="I133">
        <f t="shared" si="9"/>
        <v>137.207547554586</v>
      </c>
      <c r="J133" s="2">
        <f t="shared" si="10"/>
        <v>1.25062860795716</v>
      </c>
      <c r="K133">
        <f t="shared" si="12"/>
        <v>0.53987792219248831</v>
      </c>
      <c r="L133" s="1">
        <f t="shared" si="11"/>
        <v>1.7905065301496483</v>
      </c>
    </row>
    <row r="134" spans="1:12" x14ac:dyDescent="0.3">
      <c r="A134">
        <v>66</v>
      </c>
      <c r="B134">
        <v>264</v>
      </c>
      <c r="C134">
        <v>-1.4821126286152401E-2</v>
      </c>
      <c r="D134">
        <v>-0.11320182961398299</v>
      </c>
      <c r="E134">
        <v>0.123452945933113</v>
      </c>
      <c r="F134">
        <v>0.137274207664287</v>
      </c>
      <c r="G134">
        <v>1.05706304491691E-3</v>
      </c>
      <c r="H134">
        <v>-1.5233366556743301E-3</v>
      </c>
      <c r="I134">
        <f t="shared" si="9"/>
        <v>137.27420766428699</v>
      </c>
      <c r="J134" s="2">
        <f t="shared" si="10"/>
        <v>1.0570630449169101</v>
      </c>
      <c r="K134">
        <f t="shared" si="12"/>
        <v>0.60653803189347855</v>
      </c>
      <c r="L134" s="1">
        <f t="shared" si="11"/>
        <v>1.6636010768103886</v>
      </c>
    </row>
    <row r="135" spans="1:12" x14ac:dyDescent="0.3">
      <c r="A135">
        <v>66.5</v>
      </c>
      <c r="B135">
        <v>266</v>
      </c>
      <c r="C135">
        <v>-9.8958597492263198E-3</v>
      </c>
      <c r="D135">
        <v>-0.115362445160218</v>
      </c>
      <c r="E135">
        <v>0.12201611537338999</v>
      </c>
      <c r="F135">
        <v>0.137331639887046</v>
      </c>
      <c r="G135">
        <v>7.6650820360287398E-4</v>
      </c>
      <c r="H135">
        <v>-1.0807298453513301E-3</v>
      </c>
      <c r="I135">
        <f t="shared" si="9"/>
        <v>137.33163988704601</v>
      </c>
      <c r="J135" s="2">
        <f t="shared" si="10"/>
        <v>0.76650820360287397</v>
      </c>
      <c r="K135">
        <f t="shared" si="12"/>
        <v>0.66397025465249726</v>
      </c>
      <c r="L135" s="1">
        <f t="shared" si="11"/>
        <v>1.4304784582553713</v>
      </c>
    </row>
    <row r="136" spans="1:12" x14ac:dyDescent="0.3">
      <c r="A136">
        <v>67</v>
      </c>
      <c r="B136">
        <v>268</v>
      </c>
      <c r="C136">
        <v>-4.9566729315750702E-3</v>
      </c>
      <c r="D136">
        <v>-0.117273576747979</v>
      </c>
      <c r="E136">
        <v>0.120543324205001</v>
      </c>
      <c r="F136">
        <v>0.13737337121548501</v>
      </c>
      <c r="G136">
        <v>4.0014083067126501E-4</v>
      </c>
      <c r="H136">
        <v>-5.6230849151745301E-4</v>
      </c>
      <c r="I136">
        <f t="shared" si="9"/>
        <v>137.37337121548501</v>
      </c>
      <c r="J136" s="2">
        <f t="shared" si="10"/>
        <v>0.40014083067126499</v>
      </c>
      <c r="K136">
        <f t="shared" si="12"/>
        <v>0.70570158309149633</v>
      </c>
      <c r="L136" s="1">
        <f t="shared" si="11"/>
        <v>1.1058424137627614</v>
      </c>
    </row>
    <row r="137" spans="1:12" x14ac:dyDescent="0.3">
      <c r="A137">
        <v>67.5</v>
      </c>
      <c r="B137">
        <v>270</v>
      </c>
      <c r="C137" s="1">
        <v>-3.11438474639019E-5</v>
      </c>
      <c r="D137">
        <v>-0.118983055769481</v>
      </c>
      <c r="E137">
        <v>0.118999173304373</v>
      </c>
      <c r="F137">
        <v>0.13739910401813599</v>
      </c>
      <c r="G137" s="1">
        <v>-2.6135076606551001E-5</v>
      </c>
      <c r="H137" s="1">
        <v>-5.0087708573000697E-6</v>
      </c>
      <c r="I137">
        <f t="shared" si="9"/>
        <v>137.399104018136</v>
      </c>
      <c r="J137" s="2">
        <f t="shared" si="10"/>
        <v>-2.6135076606551001E-2</v>
      </c>
      <c r="K137">
        <f t="shared" si="12"/>
        <v>0.73143438574248876</v>
      </c>
      <c r="L137" s="1">
        <f t="shared" si="11"/>
        <v>0.70529930913593775</v>
      </c>
    </row>
    <row r="138" spans="1:12" x14ac:dyDescent="0.3">
      <c r="A138">
        <v>68</v>
      </c>
      <c r="B138">
        <v>272</v>
      </c>
      <c r="C138">
        <v>4.94630716689243E-3</v>
      </c>
      <c r="D138">
        <v>-0.120539054543417</v>
      </c>
      <c r="E138">
        <v>0.117282469955528</v>
      </c>
      <c r="F138">
        <v>0.13737564469571401</v>
      </c>
      <c r="G138">
        <v>-4.11525241895777E-4</v>
      </c>
      <c r="H138">
        <v>5.6324085966779703E-4</v>
      </c>
      <c r="I138">
        <f t="shared" si="9"/>
        <v>137.37564469571402</v>
      </c>
      <c r="J138" s="2">
        <f t="shared" si="10"/>
        <v>-0.41152524189577699</v>
      </c>
      <c r="K138">
        <f t="shared" si="12"/>
        <v>0.70797506332050375</v>
      </c>
      <c r="L138" s="1">
        <f t="shared" si="11"/>
        <v>0.29644982142472676</v>
      </c>
    </row>
    <row r="139" spans="1:12" x14ac:dyDescent="0.3">
      <c r="A139">
        <v>68.5</v>
      </c>
      <c r="B139">
        <v>274</v>
      </c>
      <c r="C139">
        <v>9.8773777153085603E-3</v>
      </c>
      <c r="D139">
        <v>-0.122009934833333</v>
      </c>
      <c r="E139">
        <v>0.115369463094793</v>
      </c>
      <c r="F139">
        <v>0.137330955791929</v>
      </c>
      <c r="G139">
        <v>-7.8322204510677897E-4</v>
      </c>
      <c r="H139">
        <v>1.0789686589226901E-3</v>
      </c>
      <c r="I139">
        <f t="shared" si="9"/>
        <v>137.330955791929</v>
      </c>
      <c r="J139" s="2">
        <f t="shared" si="10"/>
        <v>-0.78322204510677895</v>
      </c>
      <c r="K139">
        <f t="shared" si="12"/>
        <v>0.6632861595354882</v>
      </c>
      <c r="L139" s="1">
        <f t="shared" si="11"/>
        <v>-0.11993588557129076</v>
      </c>
    </row>
    <row r="140" spans="1:12" x14ac:dyDescent="0.3">
      <c r="A140">
        <v>69</v>
      </c>
      <c r="B140">
        <v>276</v>
      </c>
      <c r="C140">
        <v>1.48206476553309E-2</v>
      </c>
      <c r="D140">
        <v>-0.12344653721174299</v>
      </c>
      <c r="E140">
        <v>0.11321178656066801</v>
      </c>
      <c r="F140">
        <v>0.13727564143111301</v>
      </c>
      <c r="G140">
        <v>-1.0630198562953501E-3</v>
      </c>
      <c r="H140">
        <v>1.52863233475225E-3</v>
      </c>
      <c r="I140">
        <f t="shared" si="9"/>
        <v>137.275641431113</v>
      </c>
      <c r="J140" s="2">
        <f t="shared" si="10"/>
        <v>-1.0630198562953501</v>
      </c>
      <c r="K140">
        <f t="shared" si="12"/>
        <v>0.6079717987194897</v>
      </c>
      <c r="L140" s="1">
        <f t="shared" si="11"/>
        <v>-0.45504805757586042</v>
      </c>
    </row>
    <row r="141" spans="1:12" x14ac:dyDescent="0.3">
      <c r="A141">
        <v>69.5</v>
      </c>
      <c r="B141">
        <v>278</v>
      </c>
      <c r="C141">
        <v>1.97267115008181E-2</v>
      </c>
      <c r="D141">
        <v>-0.124872329040862</v>
      </c>
      <c r="E141">
        <v>0.110776269521632</v>
      </c>
      <c r="F141">
        <v>0.13721195107175699</v>
      </c>
      <c r="G141">
        <v>-1.2586341535435099E-3</v>
      </c>
      <c r="H141">
        <v>1.8768839938626701E-3</v>
      </c>
      <c r="I141">
        <f t="shared" si="9"/>
        <v>137.211951071757</v>
      </c>
      <c r="J141" s="2">
        <f t="shared" si="10"/>
        <v>-1.2586341535435099</v>
      </c>
      <c r="K141">
        <f t="shared" si="12"/>
        <v>0.54428143936348761</v>
      </c>
      <c r="L141" s="1">
        <f t="shared" si="11"/>
        <v>-0.71435271418002233</v>
      </c>
    </row>
    <row r="142" spans="1:12" x14ac:dyDescent="0.3">
      <c r="A142">
        <v>70</v>
      </c>
      <c r="B142">
        <v>280</v>
      </c>
      <c r="C142">
        <v>2.463082433433E-2</v>
      </c>
      <c r="D142">
        <v>-0.12627523911637101</v>
      </c>
      <c r="E142">
        <v>0.108034214851276</v>
      </c>
      <c r="F142">
        <v>0.13713067873284199</v>
      </c>
      <c r="G142">
        <v>-1.3318350533463199E-3</v>
      </c>
      <c r="H142">
        <v>2.1299333564116099E-3</v>
      </c>
      <c r="I142">
        <f t="shared" si="9"/>
        <v>137.130678732842</v>
      </c>
      <c r="J142" s="2">
        <f t="shared" si="10"/>
        <v>-1.3318350533463199</v>
      </c>
      <c r="K142">
        <f t="shared" si="12"/>
        <v>0.4630091004484882</v>
      </c>
      <c r="L142" s="1">
        <f t="shared" si="11"/>
        <v>-0.86882595289783171</v>
      </c>
    </row>
    <row r="143" spans="1:12" x14ac:dyDescent="0.3">
      <c r="A143">
        <v>70.5</v>
      </c>
      <c r="B143">
        <v>282</v>
      </c>
      <c r="C143">
        <v>2.9526658070160701E-2</v>
      </c>
      <c r="D143">
        <v>-0.12764261250053099</v>
      </c>
      <c r="E143">
        <v>0.104996704468614</v>
      </c>
      <c r="F143">
        <v>0.13704135559810801</v>
      </c>
      <c r="G143">
        <v>-1.2875615391134099E-3</v>
      </c>
      <c r="H143">
        <v>2.2935833460810502E-3</v>
      </c>
      <c r="I143">
        <f t="shared" si="9"/>
        <v>137.041355598108</v>
      </c>
      <c r="J143" s="2">
        <f t="shared" si="10"/>
        <v>-1.2875615391134099</v>
      </c>
      <c r="K143">
        <f t="shared" si="12"/>
        <v>0.3736859657144862</v>
      </c>
      <c r="L143" s="1">
        <f>J143+K143</f>
        <v>-0.91387557339892367</v>
      </c>
    </row>
    <row r="144" spans="1:12" x14ac:dyDescent="0.3">
      <c r="A144">
        <v>71</v>
      </c>
      <c r="B144">
        <v>284</v>
      </c>
      <c r="C144">
        <v>3.4323663541407597E-2</v>
      </c>
      <c r="D144">
        <v>-0.12893493157545899</v>
      </c>
      <c r="E144">
        <v>0.101700497307414</v>
      </c>
      <c r="F144">
        <v>0.13693404811149101</v>
      </c>
      <c r="G144">
        <v>-1.2024760521130501E-3</v>
      </c>
      <c r="H144">
        <v>2.36307642445407E-3</v>
      </c>
      <c r="I144">
        <f t="shared" si="9"/>
        <v>136.93404811149102</v>
      </c>
      <c r="J144" s="2">
        <f t="shared" si="10"/>
        <v>-1.20247605211305</v>
      </c>
      <c r="K144">
        <f t="shared" si="12"/>
        <v>0.26637847909751144</v>
      </c>
      <c r="L144" s="1">
        <f t="shared" ref="L144:L169" si="13">J144+K144</f>
        <v>-0.93609757301553853</v>
      </c>
    </row>
    <row r="145" spans="1:12" x14ac:dyDescent="0.3">
      <c r="A145">
        <v>71.5</v>
      </c>
      <c r="B145">
        <v>286</v>
      </c>
      <c r="C145">
        <v>3.9153543635235197E-2</v>
      </c>
      <c r="D145">
        <v>-0.13010265567207799</v>
      </c>
      <c r="E145">
        <v>9.8143696311175393E-2</v>
      </c>
      <c r="F145">
        <v>0.136804380109733</v>
      </c>
      <c r="G145">
        <v>-9.9145604629125896E-4</v>
      </c>
      <c r="H145">
        <v>2.3981947581108E-3</v>
      </c>
      <c r="I145">
        <f t="shared" si="9"/>
        <v>136.80438010973302</v>
      </c>
      <c r="J145" s="2">
        <f t="shared" si="10"/>
        <v>-0.99145604629125894</v>
      </c>
      <c r="K145">
        <f t="shared" si="12"/>
        <v>0.13671047733950559</v>
      </c>
      <c r="L145" s="1">
        <f t="shared" si="13"/>
        <v>-0.85474556895175335</v>
      </c>
    </row>
    <row r="146" spans="1:12" x14ac:dyDescent="0.3">
      <c r="A146">
        <v>72</v>
      </c>
      <c r="B146">
        <v>288</v>
      </c>
      <c r="C146">
        <v>4.3898444088769098E-2</v>
      </c>
      <c r="D146">
        <v>-0.131082720590457</v>
      </c>
      <c r="E146">
        <v>9.44215736790604E-2</v>
      </c>
      <c r="F146">
        <v>0.13664265249499399</v>
      </c>
      <c r="G146">
        <v>-7.7691500815337401E-4</v>
      </c>
      <c r="H146">
        <v>2.4124323924574601E-3</v>
      </c>
      <c r="I146">
        <f t="shared" si="9"/>
        <v>136.642652494994</v>
      </c>
      <c r="J146" s="2">
        <f t="shared" si="10"/>
        <v>-0.776915008153374</v>
      </c>
      <c r="K146">
        <f t="shared" si="12"/>
        <v>-2.5017137399515832E-2</v>
      </c>
      <c r="L146" s="1">
        <f t="shared" si="13"/>
        <v>-0.80193214555288983</v>
      </c>
    </row>
    <row r="147" spans="1:12" x14ac:dyDescent="0.3">
      <c r="A147">
        <v>72.5</v>
      </c>
      <c r="B147">
        <v>290</v>
      </c>
      <c r="C147">
        <v>4.86146929242307E-2</v>
      </c>
      <c r="D147">
        <v>-0.131838573943868</v>
      </c>
      <c r="E147">
        <v>9.0580625182982002E-2</v>
      </c>
      <c r="F147">
        <v>0.13645797170196999</v>
      </c>
      <c r="G147">
        <v>-5.4159217428951601E-4</v>
      </c>
      <c r="H147">
        <v>2.4522480544479398E-3</v>
      </c>
      <c r="I147">
        <f t="shared" si="9"/>
        <v>136.45797170197</v>
      </c>
      <c r="J147" s="2">
        <f t="shared" si="10"/>
        <v>-0.541592174289516</v>
      </c>
      <c r="K147">
        <f t="shared" si="12"/>
        <v>-0.20969793042351625</v>
      </c>
      <c r="L147" s="1">
        <f t="shared" si="13"/>
        <v>-0.75129010471303226</v>
      </c>
    </row>
    <row r="148" spans="1:12" x14ac:dyDescent="0.3">
      <c r="A148">
        <v>73</v>
      </c>
      <c r="B148">
        <v>292</v>
      </c>
      <c r="C148">
        <v>5.3258508007355203E-2</v>
      </c>
      <c r="D148">
        <v>-0.132388724955877</v>
      </c>
      <c r="E148">
        <v>8.6692762316277705E-2</v>
      </c>
      <c r="F148">
        <v>0.13628313945864101</v>
      </c>
      <c r="G148">
        <v>-3.3963389206935902E-4</v>
      </c>
      <c r="H148">
        <v>2.52084845591835E-3</v>
      </c>
      <c r="I148">
        <f t="shared" si="9"/>
        <v>136.28313945864102</v>
      </c>
      <c r="J148" s="2">
        <f t="shared" si="10"/>
        <v>-0.33963389206935901</v>
      </c>
      <c r="K148">
        <f t="shared" si="12"/>
        <v>-0.38453017375249487</v>
      </c>
      <c r="L148" s="1">
        <f t="shared" si="13"/>
        <v>-0.72416406582185389</v>
      </c>
    </row>
    <row r="149" spans="1:12" x14ac:dyDescent="0.3">
      <c r="A149">
        <v>73.5</v>
      </c>
      <c r="B149">
        <v>294</v>
      </c>
      <c r="C149">
        <v>5.7804205124792798E-2</v>
      </c>
      <c r="D149">
        <v>-0.13273000943553201</v>
      </c>
      <c r="E149">
        <v>8.2778387543891496E-2</v>
      </c>
      <c r="F149">
        <v>0.136113269540698</v>
      </c>
      <c r="G149">
        <v>-1.9219289984708399E-4</v>
      </c>
      <c r="H149">
        <v>2.6175277443838498E-3</v>
      </c>
      <c r="I149">
        <f t="shared" si="9"/>
        <v>136.11326954069798</v>
      </c>
      <c r="J149" s="2">
        <f t="shared" si="10"/>
        <v>-0.19219289984708399</v>
      </c>
      <c r="K149">
        <f t="shared" si="12"/>
        <v>-0.55440009169552695</v>
      </c>
      <c r="L149" s="1">
        <f t="shared" si="13"/>
        <v>-0.74659299154261094</v>
      </c>
    </row>
    <row r="150" spans="1:12" x14ac:dyDescent="0.3">
      <c r="A150">
        <v>74</v>
      </c>
      <c r="B150">
        <v>296</v>
      </c>
      <c r="C150">
        <v>6.2206638078421E-2</v>
      </c>
      <c r="D150">
        <v>-0.13292015195377899</v>
      </c>
      <c r="E150">
        <v>7.8872642851813196E-2</v>
      </c>
      <c r="F150">
        <v>0.135980655051474</v>
      </c>
      <c r="G150">
        <v>-1.3692489057809301E-4</v>
      </c>
      <c r="H150">
        <v>2.71970965881815E-3</v>
      </c>
      <c r="I150">
        <f t="shared" si="9"/>
        <v>135.980655051474</v>
      </c>
      <c r="J150" s="2">
        <f t="shared" si="10"/>
        <v>-0.13692489057809301</v>
      </c>
      <c r="K150">
        <f t="shared" si="12"/>
        <v>-0.6870145809195094</v>
      </c>
      <c r="L150" s="1">
        <f t="shared" si="13"/>
        <v>-0.82393947149760238</v>
      </c>
    </row>
    <row r="151" spans="1:12" x14ac:dyDescent="0.3">
      <c r="A151">
        <v>74.5</v>
      </c>
      <c r="B151">
        <v>298</v>
      </c>
      <c r="C151">
        <v>6.6488658718037302E-2</v>
      </c>
      <c r="D151">
        <v>-0.13301226365376101</v>
      </c>
      <c r="E151">
        <v>7.4893589612711406E-2</v>
      </c>
      <c r="F151">
        <v>0.13588888439724001</v>
      </c>
      <c r="G151">
        <v>-1.10202574062782E-4</v>
      </c>
      <c r="H151">
        <v>2.78999489232926E-3</v>
      </c>
      <c r="I151">
        <f t="shared" si="9"/>
        <v>135.88888439724002</v>
      </c>
      <c r="J151" s="2">
        <f t="shared" si="10"/>
        <v>-0.110202574062782</v>
      </c>
      <c r="K151">
        <f t="shared" si="12"/>
        <v>-0.77878523515349229</v>
      </c>
      <c r="L151" s="1">
        <f t="shared" si="13"/>
        <v>-0.88898780921627429</v>
      </c>
    </row>
    <row r="152" spans="1:12" x14ac:dyDescent="0.3">
      <c r="A152">
        <v>75</v>
      </c>
      <c r="B152">
        <v>300</v>
      </c>
      <c r="C152">
        <v>7.0631157846160295E-2</v>
      </c>
      <c r="D152">
        <v>-0.133036134005627</v>
      </c>
      <c r="E152">
        <v>7.0866866263282896E-2</v>
      </c>
      <c r="F152">
        <v>0.135856764040232</v>
      </c>
      <c r="G152">
        <v>-1.3608631807602599E-4</v>
      </c>
      <c r="H152">
        <v>2.82063003460517E-3</v>
      </c>
      <c r="I152">
        <f t="shared" si="9"/>
        <v>135.85676404023201</v>
      </c>
      <c r="J152" s="2">
        <f t="shared" si="10"/>
        <v>-0.136086318076026</v>
      </c>
      <c r="K152">
        <f t="shared" si="12"/>
        <v>-0.81090559216150382</v>
      </c>
      <c r="L152" s="1">
        <f t="shared" si="13"/>
        <v>-0.94699191023752982</v>
      </c>
    </row>
    <row r="153" spans="1:12" x14ac:dyDescent="0.3">
      <c r="A153">
        <v>75.5</v>
      </c>
      <c r="B153">
        <v>302</v>
      </c>
      <c r="C153">
        <v>7.4668025201974297E-2</v>
      </c>
      <c r="D153">
        <v>-0.132996347856709</v>
      </c>
      <c r="E153">
        <v>6.6726946474544094E-2</v>
      </c>
      <c r="F153">
        <v>0.135873172595431</v>
      </c>
      <c r="G153">
        <v>-1.5721717046719201E-4</v>
      </c>
      <c r="H153">
        <v>2.79954127326963E-3</v>
      </c>
      <c r="I153">
        <f t="shared" si="9"/>
        <v>135.87317259543099</v>
      </c>
      <c r="J153" s="2">
        <f t="shared" si="10"/>
        <v>-0.157217170467192</v>
      </c>
      <c r="K153">
        <f t="shared" si="12"/>
        <v>-0.79449703696252527</v>
      </c>
      <c r="L153" s="1">
        <f t="shared" si="13"/>
        <v>-0.95171420742971724</v>
      </c>
    </row>
    <row r="154" spans="1:12" x14ac:dyDescent="0.3">
      <c r="A154">
        <v>76</v>
      </c>
      <c r="B154">
        <v>304</v>
      </c>
      <c r="C154">
        <v>7.8645515779495204E-2</v>
      </c>
      <c r="D154">
        <v>-0.13289500653060801</v>
      </c>
      <c r="E154">
        <v>6.2450651636172E-2</v>
      </c>
      <c r="F154">
        <v>0.13595057270876201</v>
      </c>
      <c r="G154">
        <v>-1.33648945133767E-4</v>
      </c>
      <c r="H154">
        <v>2.7337202950195698E-3</v>
      </c>
      <c r="I154">
        <f t="shared" si="9"/>
        <v>135.95057270876202</v>
      </c>
      <c r="J154" s="2">
        <f t="shared" si="10"/>
        <v>-0.13364894513376702</v>
      </c>
      <c r="K154">
        <f t="shared" si="12"/>
        <v>-0.71709692363148747</v>
      </c>
      <c r="L154" s="1">
        <f t="shared" si="13"/>
        <v>-0.85074586876525449</v>
      </c>
    </row>
    <row r="155" spans="1:12" x14ac:dyDescent="0.3">
      <c r="A155">
        <v>76.5</v>
      </c>
      <c r="B155">
        <v>306</v>
      </c>
      <c r="C155">
        <v>8.2576511755818996E-2</v>
      </c>
      <c r="D155">
        <v>-0.13268965561561399</v>
      </c>
      <c r="E155">
        <v>5.8041328025888898E-2</v>
      </c>
      <c r="F155">
        <v>0.136071705676894</v>
      </c>
      <c r="G155" s="1">
        <v>-5.8290679966090499E-5</v>
      </c>
      <c r="H155">
        <v>2.64272805536461E-3</v>
      </c>
      <c r="I155">
        <f t="shared" si="9"/>
        <v>136.071705676894</v>
      </c>
      <c r="J155" s="2">
        <f t="shared" si="10"/>
        <v>-5.8290679966090497E-2</v>
      </c>
      <c r="K155">
        <f t="shared" si="12"/>
        <v>-0.59596395549951353</v>
      </c>
      <c r="L155" s="1">
        <f t="shared" si="13"/>
        <v>-0.65425463546560403</v>
      </c>
    </row>
    <row r="156" spans="1:12" x14ac:dyDescent="0.3">
      <c r="A156">
        <v>77</v>
      </c>
      <c r="B156">
        <v>308</v>
      </c>
      <c r="C156">
        <v>8.6537041825834105E-2</v>
      </c>
      <c r="D156">
        <v>-0.13233826783015101</v>
      </c>
      <c r="E156">
        <v>5.34788484546211E-2</v>
      </c>
      <c r="F156">
        <v>0.13624094198997999</v>
      </c>
      <c r="G156">
        <v>1.2631172434487899E-4</v>
      </c>
      <c r="H156">
        <v>2.55920748343463E-3</v>
      </c>
      <c r="I156">
        <f t="shared" si="9"/>
        <v>136.24094198998</v>
      </c>
      <c r="J156" s="2">
        <f t="shared" si="10"/>
        <v>0.126311724344879</v>
      </c>
      <c r="K156">
        <f t="shared" si="12"/>
        <v>-0.42672764241351047</v>
      </c>
      <c r="L156" s="1">
        <f t="shared" si="13"/>
        <v>-0.30041591806863144</v>
      </c>
    </row>
    <row r="157" spans="1:12" x14ac:dyDescent="0.3">
      <c r="A157">
        <v>77.5</v>
      </c>
      <c r="B157">
        <v>310</v>
      </c>
      <c r="C157">
        <v>9.0431365453987195E-2</v>
      </c>
      <c r="D157">
        <v>-0.13179010453275999</v>
      </c>
      <c r="E157">
        <v>4.8838619878956803E-2</v>
      </c>
      <c r="F157">
        <v>0.136413246483892</v>
      </c>
      <c r="G157">
        <v>3.3069519561099999E-4</v>
      </c>
      <c r="H157">
        <v>2.49329360006106E-3</v>
      </c>
      <c r="I157">
        <f t="shared" si="9"/>
        <v>136.41324648389201</v>
      </c>
      <c r="J157" s="2">
        <f t="shared" si="10"/>
        <v>0.33069519561099997</v>
      </c>
      <c r="K157">
        <f t="shared" si="12"/>
        <v>-0.25442314850150183</v>
      </c>
      <c r="L157" s="1">
        <f t="shared" si="13"/>
        <v>7.6272047109498142E-2</v>
      </c>
    </row>
    <row r="158" spans="1:12" x14ac:dyDescent="0.3">
      <c r="A158">
        <v>78</v>
      </c>
      <c r="B158">
        <v>312</v>
      </c>
      <c r="C158">
        <v>9.4262858433010202E-2</v>
      </c>
      <c r="D158">
        <v>-0.131020322599677</v>
      </c>
      <c r="E158">
        <v>4.4141859072877099E-2</v>
      </c>
      <c r="F158">
        <v>0.13658130829031001</v>
      </c>
      <c r="G158">
        <v>5.5259730891359495E-4</v>
      </c>
      <c r="H158">
        <v>2.46146496873662E-3</v>
      </c>
      <c r="I158">
        <f t="shared" si="9"/>
        <v>136.58130829031001</v>
      </c>
      <c r="J158" s="2">
        <f t="shared" si="10"/>
        <v>0.55259730891359493</v>
      </c>
      <c r="K158">
        <f t="shared" si="12"/>
        <v>-8.6361342083506543E-2</v>
      </c>
      <c r="L158" s="1">
        <f t="shared" si="13"/>
        <v>0.46623596683008839</v>
      </c>
    </row>
    <row r="159" spans="1:12" x14ac:dyDescent="0.3">
      <c r="A159">
        <v>78.5</v>
      </c>
      <c r="B159">
        <v>314</v>
      </c>
      <c r="C159">
        <v>9.80099109901304E-2</v>
      </c>
      <c r="D159">
        <v>-0.130028559456009</v>
      </c>
      <c r="E159">
        <v>3.9375837240129802E-2</v>
      </c>
      <c r="F159">
        <v>0.13673534150078301</v>
      </c>
      <c r="G159">
        <v>7.9679342181271297E-4</v>
      </c>
      <c r="H159">
        <v>2.4523962580836199E-3</v>
      </c>
      <c r="I159">
        <f t="shared" si="9"/>
        <v>136.73534150078302</v>
      </c>
      <c r="J159" s="2">
        <f t="shared" si="10"/>
        <v>0.79679342181271295</v>
      </c>
      <c r="K159">
        <f t="shared" si="12"/>
        <v>6.7671868389510337E-2</v>
      </c>
      <c r="L159" s="1">
        <f t="shared" si="13"/>
        <v>0.86446529020222329</v>
      </c>
    </row>
    <row r="160" spans="1:12" x14ac:dyDescent="0.3">
      <c r="A160">
        <v>79</v>
      </c>
      <c r="B160">
        <v>316</v>
      </c>
      <c r="C160">
        <v>0.101576578359626</v>
      </c>
      <c r="D160">
        <v>-0.12885830210264099</v>
      </c>
      <c r="E160">
        <v>3.4581031099581098E-2</v>
      </c>
      <c r="F160">
        <v>0.13686702280441099</v>
      </c>
      <c r="G160">
        <v>9.9268803154521092E-4</v>
      </c>
      <c r="H160">
        <v>2.4331024521886601E-3</v>
      </c>
      <c r="I160">
        <f t="shared" si="9"/>
        <v>136.86702280441099</v>
      </c>
      <c r="J160" s="2">
        <f t="shared" si="10"/>
        <v>0.9926880315452109</v>
      </c>
      <c r="K160">
        <f t="shared" si="12"/>
        <v>0.19935317201748148</v>
      </c>
      <c r="L160" s="1">
        <f t="shared" si="13"/>
        <v>1.1920412035626924</v>
      </c>
    </row>
    <row r="161" spans="1:12" x14ac:dyDescent="0.3">
      <c r="A161">
        <v>79.5</v>
      </c>
      <c r="B161">
        <v>318</v>
      </c>
      <c r="C161">
        <v>0.10488840859630499</v>
      </c>
      <c r="D161">
        <v>-0.127556360568262</v>
      </c>
      <c r="E161">
        <v>2.9757091998546301E-2</v>
      </c>
      <c r="F161">
        <v>0.13696495555032001</v>
      </c>
      <c r="G161">
        <v>1.1067554297708999E-3</v>
      </c>
      <c r="H161">
        <v>2.3630466755295201E-3</v>
      </c>
      <c r="I161">
        <f t="shared" si="9"/>
        <v>136.96495555032001</v>
      </c>
      <c r="J161" s="2">
        <f t="shared" si="10"/>
        <v>1.1067554297708999</v>
      </c>
      <c r="K161">
        <f t="shared" si="12"/>
        <v>0.2972859179265015</v>
      </c>
      <c r="L161" s="1">
        <f t="shared" si="13"/>
        <v>1.4040413476974014</v>
      </c>
    </row>
    <row r="162" spans="1:12" x14ac:dyDescent="0.3">
      <c r="A162">
        <v>80</v>
      </c>
      <c r="B162">
        <v>320</v>
      </c>
      <c r="C162">
        <v>0.107931986670512</v>
      </c>
      <c r="D162">
        <v>-0.12619341658887501</v>
      </c>
      <c r="E162">
        <v>2.48899319393058E-2</v>
      </c>
      <c r="F162">
        <v>0.13705720820505299</v>
      </c>
      <c r="G162">
        <v>1.1365702309337801E-3</v>
      </c>
      <c r="H162">
        <v>2.2095006736476898E-3</v>
      </c>
      <c r="I162">
        <f t="shared" si="9"/>
        <v>137.057208205053</v>
      </c>
      <c r="J162" s="2">
        <f t="shared" si="10"/>
        <v>1.1365702309337802</v>
      </c>
      <c r="K162">
        <f t="shared" si="12"/>
        <v>0.38953857265948955</v>
      </c>
      <c r="L162" s="1">
        <f t="shared" si="13"/>
        <v>1.5261088035932697</v>
      </c>
    </row>
    <row r="163" spans="1:12" x14ac:dyDescent="0.3">
      <c r="A163">
        <v>80.5</v>
      </c>
      <c r="B163">
        <v>322</v>
      </c>
      <c r="C163">
        <v>0.11066587601510899</v>
      </c>
      <c r="D163">
        <v>-0.124799481358614</v>
      </c>
      <c r="E163">
        <v>2.0018924326492198E-2</v>
      </c>
      <c r="F163">
        <v>0.13713604020508799</v>
      </c>
      <c r="G163">
        <v>1.03860426184445E-3</v>
      </c>
      <c r="H163">
        <v>1.9617729943293399E-3</v>
      </c>
      <c r="I163">
        <f t="shared" si="9"/>
        <v>137.13604020508799</v>
      </c>
      <c r="J163" s="2">
        <f t="shared" si="10"/>
        <v>1.03860426184445</v>
      </c>
      <c r="K163">
        <f t="shared" si="12"/>
        <v>0.46837057269448223</v>
      </c>
      <c r="L163" s="1">
        <f t="shared" si="13"/>
        <v>1.5069748345389322</v>
      </c>
    </row>
    <row r="164" spans="1:12" x14ac:dyDescent="0.3">
      <c r="A164">
        <v>81</v>
      </c>
      <c r="B164">
        <v>324</v>
      </c>
      <c r="C164">
        <v>0.113115823140379</v>
      </c>
      <c r="D164">
        <v>-0.123364541702207</v>
      </c>
      <c r="E164">
        <v>1.51020733713723E-2</v>
      </c>
      <c r="F164">
        <v>0.13719355765410399</v>
      </c>
      <c r="G164">
        <v>8.6106029534033202E-4</v>
      </c>
      <c r="H164">
        <v>1.61778493651484E-3</v>
      </c>
      <c r="I164">
        <f t="shared" si="9"/>
        <v>137.19355765410398</v>
      </c>
      <c r="J164" s="2">
        <f t="shared" si="10"/>
        <v>0.86106029534033202</v>
      </c>
      <c r="K164">
        <f t="shared" si="12"/>
        <v>0.52588802171047178</v>
      </c>
      <c r="L164" s="1">
        <f t="shared" si="13"/>
        <v>1.3869483170508037</v>
      </c>
    </row>
    <row r="165" spans="1:12" x14ac:dyDescent="0.3">
      <c r="A165">
        <v>81.5</v>
      </c>
      <c r="B165">
        <v>326</v>
      </c>
      <c r="C165">
        <v>0.11527953532383201</v>
      </c>
      <c r="D165">
        <v>-0.121929769057067</v>
      </c>
      <c r="E165">
        <v>1.01979699072511E-2</v>
      </c>
      <c r="F165">
        <v>0.13724812736356401</v>
      </c>
      <c r="G165">
        <v>5.5991814274198399E-4</v>
      </c>
      <c r="H165">
        <v>1.182578724672E-3</v>
      </c>
      <c r="I165">
        <f t="shared" si="9"/>
        <v>137.24812736356401</v>
      </c>
      <c r="J165" s="2">
        <f t="shared" si="10"/>
        <v>0.55991814274198404</v>
      </c>
      <c r="K165">
        <f t="shared" si="12"/>
        <v>0.58045773117049748</v>
      </c>
      <c r="L165" s="1">
        <f t="shared" si="13"/>
        <v>1.1403758739124816</v>
      </c>
    </row>
    <row r="166" spans="1:12" x14ac:dyDescent="0.3">
      <c r="A166">
        <v>82</v>
      </c>
      <c r="B166">
        <v>328</v>
      </c>
      <c r="C166">
        <v>0.117186590602809</v>
      </c>
      <c r="D166">
        <v>-0.12047155619342099</v>
      </c>
      <c r="E166">
        <v>5.3054838953602197E-3</v>
      </c>
      <c r="F166">
        <v>0.13729006288162399</v>
      </c>
      <c r="G166">
        <v>1.59473449962857E-4</v>
      </c>
      <c r="H166">
        <v>6.7350610158278996E-4</v>
      </c>
      <c r="I166">
        <f t="shared" si="9"/>
        <v>137.29006288162398</v>
      </c>
      <c r="J166" s="2">
        <f t="shared" si="10"/>
        <v>0.15947344996285701</v>
      </c>
      <c r="K166">
        <f t="shared" si="12"/>
        <v>0.62239324923046979</v>
      </c>
      <c r="L166" s="1">
        <f t="shared" si="13"/>
        <v>0.78186669919332674</v>
      </c>
    </row>
    <row r="167" spans="1:12" x14ac:dyDescent="0.3">
      <c r="A167">
        <v>82.5</v>
      </c>
      <c r="B167">
        <v>330</v>
      </c>
      <c r="C167">
        <v>0.11889546932968401</v>
      </c>
      <c r="D167">
        <v>-0.118896217544529</v>
      </c>
      <c r="E167">
        <v>3.1968683667278202E-4</v>
      </c>
      <c r="F167">
        <v>0.13728909442788201</v>
      </c>
      <c r="G167">
        <v>-2.1337396273027001E-4</v>
      </c>
      <c r="H167">
        <v>1.0631287394245099E-4</v>
      </c>
      <c r="I167">
        <f t="shared" si="9"/>
        <v>137.28909442788202</v>
      </c>
      <c r="J167" s="2">
        <f t="shared" si="10"/>
        <v>-0.21337396273027001</v>
      </c>
      <c r="K167">
        <f t="shared" si="12"/>
        <v>0.62142479548850815</v>
      </c>
      <c r="L167" s="1">
        <f t="shared" si="13"/>
        <v>0.40805083275823817</v>
      </c>
    </row>
    <row r="168" spans="1:12" x14ac:dyDescent="0.3">
      <c r="A168">
        <v>83</v>
      </c>
      <c r="B168">
        <v>332</v>
      </c>
      <c r="C168">
        <v>0.120454698264164</v>
      </c>
      <c r="D168">
        <v>-0.11717879896158701</v>
      </c>
      <c r="E168">
        <v>-4.6350749742840201E-3</v>
      </c>
      <c r="F168">
        <v>0.13726013668929599</v>
      </c>
      <c r="G168">
        <v>-6.08664052419595E-4</v>
      </c>
      <c r="H168">
        <v>-4.5305855723550101E-4</v>
      </c>
      <c r="I168">
        <f t="shared" si="9"/>
        <v>137.26013668929599</v>
      </c>
      <c r="J168" s="2">
        <f t="shared" si="10"/>
        <v>-0.60866405241959498</v>
      </c>
      <c r="K168">
        <f t="shared" si="12"/>
        <v>0.59246705690247836</v>
      </c>
      <c r="L168" s="1">
        <f t="shared" si="13"/>
        <v>-1.6196995517116619E-2</v>
      </c>
    </row>
    <row r="169" spans="1:12" x14ac:dyDescent="0.3">
      <c r="A169">
        <v>83.5</v>
      </c>
      <c r="B169">
        <v>334</v>
      </c>
      <c r="C169">
        <v>0.121922940160299</v>
      </c>
      <c r="D169">
        <v>-0.115275409729656</v>
      </c>
      <c r="E169">
        <v>-9.5445482952787198E-3</v>
      </c>
      <c r="F169">
        <v>0.13721136840899101</v>
      </c>
      <c r="G169">
        <v>-9.9492914146759597E-4</v>
      </c>
      <c r="H169">
        <v>-9.6567262154536497E-4</v>
      </c>
      <c r="I169">
        <f t="shared" si="9"/>
        <v>137.21136840899101</v>
      </c>
      <c r="J169" s="2">
        <f t="shared" si="10"/>
        <v>-0.99492914146759592</v>
      </c>
      <c r="K169">
        <f t="shared" si="12"/>
        <v>0.54369877659749477</v>
      </c>
      <c r="L169" s="1">
        <f t="shared" si="13"/>
        <v>-0.45123036487010115</v>
      </c>
    </row>
    <row r="170" spans="1:12" x14ac:dyDescent="0.3">
      <c r="A170">
        <v>84</v>
      </c>
      <c r="B170">
        <v>336</v>
      </c>
      <c r="C170">
        <v>0.123361023357194</v>
      </c>
      <c r="D170">
        <v>-0.11311905826978701</v>
      </c>
      <c r="E170">
        <v>-1.44708188748308E-2</v>
      </c>
      <c r="F170">
        <v>0.13714917035017701</v>
      </c>
      <c r="G170">
        <v>-1.28181297504363E-3</v>
      </c>
      <c r="H170">
        <v>-1.4096179291411899E-3</v>
      </c>
      <c r="I170">
        <f t="shared" si="9"/>
        <v>137.149170350177</v>
      </c>
      <c r="J170" s="2">
        <f t="shared" si="10"/>
        <v>-1.28181297504363</v>
      </c>
      <c r="K170">
        <f t="shared" si="12"/>
        <v>0.48150071778349002</v>
      </c>
      <c r="L170" s="1">
        <f>J170+K170</f>
        <v>-0.80031225726013999</v>
      </c>
    </row>
    <row r="171" spans="1:12" x14ac:dyDescent="0.3">
      <c r="A171">
        <v>84.5</v>
      </c>
      <c r="B171">
        <v>338</v>
      </c>
      <c r="C171">
        <v>0.12479153397337001</v>
      </c>
      <c r="D171">
        <v>-0.110664644990804</v>
      </c>
      <c r="E171">
        <v>-1.9415257010715E-2</v>
      </c>
      <c r="F171">
        <v>0.13707447153844901</v>
      </c>
      <c r="G171">
        <v>-1.4386120722641501E-3</v>
      </c>
      <c r="H171">
        <v>-1.7627893427161201E-3</v>
      </c>
      <c r="I171">
        <f t="shared" si="9"/>
        <v>137.07447153844902</v>
      </c>
      <c r="J171" s="2">
        <f t="shared" si="10"/>
        <v>-1.43861207226415</v>
      </c>
      <c r="K171">
        <f t="shared" si="12"/>
        <v>0.40680190605550592</v>
      </c>
      <c r="L171" s="1">
        <f t="shared" ref="L171:L182" si="14">J171+K171</f>
        <v>-1.0318101662086441</v>
      </c>
    </row>
    <row r="172" spans="1:12" x14ac:dyDescent="0.3">
      <c r="A172">
        <v>85</v>
      </c>
      <c r="B172">
        <v>340</v>
      </c>
      <c r="C172">
        <v>0.12619881652505699</v>
      </c>
      <c r="D172">
        <v>-0.107920891213322</v>
      </c>
      <c r="E172">
        <v>-2.4323176410846699E-2</v>
      </c>
      <c r="F172">
        <v>0.136989313939826</v>
      </c>
      <c r="G172">
        <v>-1.5026811170247901E-3</v>
      </c>
      <c r="H172">
        <v>-2.0150836997039302E-3</v>
      </c>
      <c r="I172">
        <f t="shared" si="9"/>
        <v>136.98931393982599</v>
      </c>
      <c r="J172" s="2">
        <f t="shared" si="10"/>
        <v>-1.50268111702479</v>
      </c>
      <c r="K172">
        <f t="shared" si="12"/>
        <v>0.32164430743247863</v>
      </c>
      <c r="L172" s="1">
        <f t="shared" si="14"/>
        <v>-1.1810368095923114</v>
      </c>
    </row>
    <row r="173" spans="1:12" x14ac:dyDescent="0.3">
      <c r="A173">
        <v>85.5</v>
      </c>
      <c r="B173">
        <v>342</v>
      </c>
      <c r="C173">
        <v>0.12756944335497999</v>
      </c>
      <c r="D173">
        <v>-0.10488484455171999</v>
      </c>
      <c r="E173">
        <v>-2.9211261018467001E-2</v>
      </c>
      <c r="F173">
        <v>0.136895828367853</v>
      </c>
      <c r="G173">
        <v>-1.4584058623221599E-3</v>
      </c>
      <c r="H173">
        <v>-2.1755540717353999E-3</v>
      </c>
      <c r="I173">
        <f t="shared" si="9"/>
        <v>136.895828367853</v>
      </c>
      <c r="J173" s="2">
        <f t="shared" si="10"/>
        <v>-1.4584058623221599</v>
      </c>
      <c r="K173">
        <f t="shared" si="12"/>
        <v>0.22815873545948762</v>
      </c>
      <c r="L173" s="1">
        <f t="shared" si="14"/>
        <v>-1.2302471268626722</v>
      </c>
    </row>
    <row r="174" spans="1:12" x14ac:dyDescent="0.3">
      <c r="A174">
        <v>86</v>
      </c>
      <c r="B174">
        <v>344</v>
      </c>
      <c r="C174">
        <v>0.128869739722099</v>
      </c>
      <c r="D174">
        <v>-0.101553690853099</v>
      </c>
      <c r="E174">
        <v>-3.4081037058377298E-2</v>
      </c>
      <c r="F174">
        <v>0.136782736900987</v>
      </c>
      <c r="G174">
        <v>-1.3034149969926099E-3</v>
      </c>
      <c r="H174">
        <v>-2.2549960631257802E-3</v>
      </c>
      <c r="I174">
        <f t="shared" si="9"/>
        <v>136.782736900987</v>
      </c>
      <c r="J174" s="2">
        <f t="shared" si="10"/>
        <v>-1.3034149969926099</v>
      </c>
      <c r="K174">
        <f t="shared" si="12"/>
        <v>0.11506726859349214</v>
      </c>
      <c r="L174" s="1">
        <f t="shared" si="14"/>
        <v>-1.1883477283991177</v>
      </c>
    </row>
    <row r="175" spans="1:12" x14ac:dyDescent="0.3">
      <c r="A175">
        <v>86.5</v>
      </c>
      <c r="B175">
        <v>346</v>
      </c>
      <c r="C175">
        <v>0.13004162481731801</v>
      </c>
      <c r="D175">
        <v>-9.7986916146942799E-2</v>
      </c>
      <c r="E175">
        <v>-3.8900832242159303E-2</v>
      </c>
      <c r="F175">
        <v>0.13664585788898501</v>
      </c>
      <c r="G175">
        <v>-1.08806155984353E-3</v>
      </c>
      <c r="H175">
        <v>-2.2820411905944498E-3</v>
      </c>
      <c r="I175">
        <f t="shared" si="9"/>
        <v>136.64585788898501</v>
      </c>
      <c r="J175" s="2">
        <f t="shared" si="10"/>
        <v>-1.0880615598435299</v>
      </c>
      <c r="K175">
        <f t="shared" si="12"/>
        <v>-2.181174340850589E-2</v>
      </c>
      <c r="L175" s="1">
        <f t="shared" si="14"/>
        <v>-1.1098733032520358</v>
      </c>
    </row>
    <row r="176" spans="1:12" x14ac:dyDescent="0.3">
      <c r="A176">
        <v>87</v>
      </c>
      <c r="B176">
        <v>348</v>
      </c>
      <c r="C176">
        <v>0.131029607315575</v>
      </c>
      <c r="D176">
        <v>-9.4248287856167207E-2</v>
      </c>
      <c r="E176">
        <v>-4.3685140446387397E-2</v>
      </c>
      <c r="F176">
        <v>0.13648677388126201</v>
      </c>
      <c r="G176">
        <v>-8.3366849296030699E-4</v>
      </c>
      <c r="H176">
        <v>-2.3012736623264801E-3</v>
      </c>
      <c r="I176">
        <f t="shared" si="9"/>
        <v>136.48677388126202</v>
      </c>
      <c r="J176" s="2">
        <f t="shared" si="10"/>
        <v>-0.83366849296030698</v>
      </c>
      <c r="K176">
        <f t="shared" si="12"/>
        <v>-0.18089575113148726</v>
      </c>
      <c r="L176" s="1">
        <f t="shared" si="14"/>
        <v>-1.0145642440917944</v>
      </c>
    </row>
    <row r="177" spans="1:12" x14ac:dyDescent="0.3">
      <c r="A177">
        <v>87.5</v>
      </c>
      <c r="B177">
        <v>350</v>
      </c>
      <c r="C177">
        <v>0.131799075716064</v>
      </c>
      <c r="D177">
        <v>-9.0392994611549704E-2</v>
      </c>
      <c r="E177">
        <v>-4.8415002955587497E-2</v>
      </c>
      <c r="F177">
        <v>0.13630610319584699</v>
      </c>
      <c r="G177">
        <v>-5.7544059339173905E-4</v>
      </c>
      <c r="H177">
        <v>-2.33630728369103E-3</v>
      </c>
      <c r="I177">
        <f t="shared" ref="I177:I182" si="15">F177*1000</f>
        <v>136.30610319584699</v>
      </c>
      <c r="J177" s="2">
        <f t="shared" ref="J177:J182" si="16">G177*1000</f>
        <v>-0.57544059339173903</v>
      </c>
      <c r="K177">
        <f t="shared" si="12"/>
        <v>-0.36156643654652498</v>
      </c>
      <c r="L177" s="1">
        <f t="shared" si="14"/>
        <v>-0.93700702993826401</v>
      </c>
    </row>
    <row r="178" spans="1:12" x14ac:dyDescent="0.3">
      <c r="A178">
        <v>88</v>
      </c>
      <c r="B178">
        <v>352</v>
      </c>
      <c r="C178">
        <v>0.13235130542096599</v>
      </c>
      <c r="D178">
        <v>-8.6482672989242101E-2</v>
      </c>
      <c r="E178">
        <v>-5.3086249859388202E-2</v>
      </c>
      <c r="F178">
        <v>0.13612918724957401</v>
      </c>
      <c r="G178">
        <v>-3.3921397033630598E-4</v>
      </c>
      <c r="H178">
        <v>-2.4058724758878399E-3</v>
      </c>
      <c r="I178">
        <f t="shared" si="15"/>
        <v>136.12918724957402</v>
      </c>
      <c r="J178" s="2">
        <f t="shared" si="16"/>
        <v>-0.33921397033630596</v>
      </c>
      <c r="K178">
        <f t="shared" si="12"/>
        <v>-0.53848238281949534</v>
      </c>
      <c r="L178" s="1">
        <f t="shared" si="14"/>
        <v>-0.8776963531558013</v>
      </c>
    </row>
    <row r="179" spans="1:12" x14ac:dyDescent="0.3">
      <c r="A179">
        <v>88.5</v>
      </c>
      <c r="B179">
        <v>354</v>
      </c>
      <c r="C179">
        <v>0.13270389916383499</v>
      </c>
      <c r="D179">
        <v>-8.2546364808375197E-2</v>
      </c>
      <c r="E179">
        <v>-5.7642767613377797E-2</v>
      </c>
      <c r="F179">
        <v>0.13596126332037201</v>
      </c>
      <c r="G179">
        <v>-1.6719252365265E-4</v>
      </c>
      <c r="H179">
        <v>-2.49507775263908E-3</v>
      </c>
      <c r="I179">
        <f t="shared" si="15"/>
        <v>135.96126332037201</v>
      </c>
      <c r="J179" s="2">
        <f t="shared" si="16"/>
        <v>-0.16719252365265</v>
      </c>
      <c r="K179">
        <f t="shared" si="12"/>
        <v>-0.70640631202149962</v>
      </c>
      <c r="L179" s="1">
        <f t="shared" si="14"/>
        <v>-0.87359883567414964</v>
      </c>
    </row>
    <row r="180" spans="1:12" x14ac:dyDescent="0.3">
      <c r="A180">
        <v>89</v>
      </c>
      <c r="B180">
        <v>356</v>
      </c>
      <c r="C180">
        <v>0.132900847632061</v>
      </c>
      <c r="D180">
        <v>-7.8593413151625297E-2</v>
      </c>
      <c r="E180">
        <v>-6.20776506550011E-2</v>
      </c>
      <c r="F180">
        <v>0.13582602509889399</v>
      </c>
      <c r="G180" s="1">
        <v>-6.0783435110877298E-5</v>
      </c>
      <c r="H180">
        <v>-2.59007205818823E-3</v>
      </c>
      <c r="I180">
        <f t="shared" si="15"/>
        <v>135.82602509889401</v>
      </c>
      <c r="J180" s="2">
        <f t="shared" si="16"/>
        <v>-6.0783435110877297E-2</v>
      </c>
      <c r="K180">
        <f t="shared" si="12"/>
        <v>-0.84164453349950463</v>
      </c>
      <c r="L180" s="1">
        <f t="shared" si="14"/>
        <v>-0.90242796861038188</v>
      </c>
    </row>
    <row r="181" spans="1:12" x14ac:dyDescent="0.3">
      <c r="A181">
        <v>89.5</v>
      </c>
      <c r="B181">
        <v>358</v>
      </c>
      <c r="C181">
        <v>0.13300395586098099</v>
      </c>
      <c r="D181">
        <v>-7.4615748016771094E-2</v>
      </c>
      <c r="E181">
        <v>-6.6366443754822604E-2</v>
      </c>
      <c r="F181">
        <v>0.135746942533395</v>
      </c>
      <c r="G181" s="1">
        <v>-2.5253446661613299E-5</v>
      </c>
      <c r="H181">
        <v>-2.6594119702039801E-3</v>
      </c>
      <c r="I181">
        <f t="shared" si="15"/>
        <v>135.74694253339501</v>
      </c>
      <c r="J181" s="2">
        <f t="shared" si="16"/>
        <v>-2.5253446661613298E-2</v>
      </c>
      <c r="K181">
        <f t="shared" si="12"/>
        <v>-0.92072709899849769</v>
      </c>
      <c r="L181" s="1">
        <f t="shared" si="14"/>
        <v>-0.94598054566011103</v>
      </c>
    </row>
    <row r="182" spans="1:12" x14ac:dyDescent="0.3">
      <c r="A182">
        <v>90</v>
      </c>
      <c r="B182">
        <v>360</v>
      </c>
      <c r="C182">
        <v>0.133033518216429</v>
      </c>
      <c r="D182">
        <v>-7.0551266390098094E-2</v>
      </c>
      <c r="E182">
        <v>-7.0547169996156497E-2</v>
      </c>
      <c r="F182">
        <v>0.135721824273037</v>
      </c>
      <c r="G182" s="1">
        <v>-2.3650541448177998E-6</v>
      </c>
      <c r="H182">
        <v>-2.6883060566084199E-3</v>
      </c>
      <c r="I182">
        <f t="shared" si="15"/>
        <v>135.72182427303699</v>
      </c>
      <c r="J182" s="2">
        <f t="shared" si="16"/>
        <v>-2.3650541448177998E-3</v>
      </c>
      <c r="K182">
        <f t="shared" si="12"/>
        <v>-0.94584535935652525</v>
      </c>
      <c r="L182" s="1">
        <f t="shared" si="14"/>
        <v>-0.94821041350134305</v>
      </c>
    </row>
  </sheetData>
  <phoneticPr fontId="18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results_flux_dq0_그래프플롯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sjo</dc:creator>
  <cp:lastModifiedBy>sjo</cp:lastModifiedBy>
  <dcterms:created xsi:type="dcterms:W3CDTF">2026-10-08T01:34:08Z</dcterms:created>
  <dcterms:modified xsi:type="dcterms:W3CDTF">2026-10-08T01:53:34Z</dcterms:modified>
</cp:coreProperties>
</file>